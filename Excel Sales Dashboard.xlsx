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slicers/slicer4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1e0a3b1aa3825fb/Desktop/"/>
    </mc:Choice>
  </mc:AlternateContent>
  <xr:revisionPtr revIDLastSave="894" documentId="8_{FE006EDA-3130-4660-A512-51373D554A21}" xr6:coauthVersionLast="47" xr6:coauthVersionMax="47" xr10:uidLastSave="{801FEE09-58A5-46D2-84F2-4149F7FE8CCB}"/>
  <bookViews>
    <workbookView xWindow="-120" yWindow="-120" windowWidth="20730" windowHeight="11160" activeTab="6" xr2:uid="{88A79200-2FB5-4C28-A9B6-4822CFD611BA}"/>
  </bookViews>
  <sheets>
    <sheet name="Sales_Data" sheetId="16" r:id="rId1"/>
    <sheet name="KPI_Pivots" sheetId="26" r:id="rId2"/>
    <sheet name="Pivot_analysis 1" sheetId="19" r:id="rId3"/>
    <sheet name="Pivot_Analysis 2" sheetId="23" r:id="rId4"/>
    <sheet name="Pivot_analysis 3" sheetId="24" r:id="rId5"/>
    <sheet name="Pivot_Analysis 4" sheetId="25" r:id="rId6"/>
    <sheet name="Dashboard" sheetId="20" r:id="rId7"/>
  </sheets>
  <definedNames>
    <definedName name="Slicer_Product">#N/A</definedName>
    <definedName name="Slicer_Region">#N/A</definedName>
    <definedName name="Slicer_Salesperson">#N/A</definedName>
  </definedNames>
  <calcPr calcId="191028"/>
  <pivotCaches>
    <pivotCache cacheId="0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20" l="1"/>
  <c r="J7" i="20"/>
  <c r="F7" i="20"/>
  <c r="B7" i="20"/>
  <c r="J2" i="16"/>
  <c r="J3" i="16"/>
  <c r="J4" i="16"/>
  <c r="J5" i="16"/>
  <c r="J6" i="16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I3" i="16"/>
  <c r="I4" i="16"/>
  <c r="I5" i="16"/>
  <c r="I6" i="16"/>
  <c r="I7" i="16"/>
  <c r="I8" i="16"/>
  <c r="I9" i="16"/>
  <c r="I10" i="16"/>
  <c r="I11" i="16"/>
  <c r="I12" i="16"/>
  <c r="I13" i="16"/>
  <c r="I2" i="16"/>
  <c r="H14" i="16"/>
  <c r="H2" i="16"/>
  <c r="H3" i="16"/>
  <c r="H4" i="16"/>
  <c r="H5" i="16"/>
  <c r="H6" i="16"/>
  <c r="H7" i="16"/>
  <c r="H8" i="16"/>
  <c r="H9" i="16"/>
  <c r="H10" i="16"/>
  <c r="H11" i="16"/>
  <c r="H12" i="16"/>
  <c r="H13" i="16"/>
  <c r="H15" i="16"/>
  <c r="H16" i="16"/>
  <c r="H17" i="16"/>
  <c r="H18" i="16"/>
  <c r="H19" i="16"/>
  <c r="H20" i="16"/>
  <c r="H21" i="16"/>
</calcChain>
</file>

<file path=xl/sharedStrings.xml><?xml version="1.0" encoding="utf-8"?>
<sst xmlns="http://schemas.openxmlformats.org/spreadsheetml/2006/main" count="122" uniqueCount="53">
  <si>
    <t>OrderID</t>
  </si>
  <si>
    <t>Date</t>
  </si>
  <si>
    <t>Region</t>
  </si>
  <si>
    <t>Salesperson</t>
  </si>
  <si>
    <t>Product</t>
  </si>
  <si>
    <t>Units</t>
  </si>
  <si>
    <t>Revenue</t>
  </si>
  <si>
    <t>Months</t>
  </si>
  <si>
    <t>Year</t>
  </si>
  <si>
    <t>Sales Category</t>
  </si>
  <si>
    <t>O201</t>
  </si>
  <si>
    <t>North</t>
  </si>
  <si>
    <t>Ali</t>
  </si>
  <si>
    <t>Laptop</t>
  </si>
  <si>
    <t>O202</t>
  </si>
  <si>
    <t>West</t>
  </si>
  <si>
    <t>Sara</t>
  </si>
  <si>
    <t>Mobile</t>
  </si>
  <si>
    <t>O203</t>
  </si>
  <si>
    <t>East</t>
  </si>
  <si>
    <t>John</t>
  </si>
  <si>
    <t>O204</t>
  </si>
  <si>
    <t>South</t>
  </si>
  <si>
    <t>Neha</t>
  </si>
  <si>
    <t>Tablet</t>
  </si>
  <si>
    <t>O205</t>
  </si>
  <si>
    <t>Ravi</t>
  </si>
  <si>
    <t>O206</t>
  </si>
  <si>
    <t>O207</t>
  </si>
  <si>
    <t>O208</t>
  </si>
  <si>
    <t>O209</t>
  </si>
  <si>
    <t>O210</t>
  </si>
  <si>
    <t>O211</t>
  </si>
  <si>
    <t>Ayesha</t>
  </si>
  <si>
    <t>O212</t>
  </si>
  <si>
    <t>O213</t>
  </si>
  <si>
    <t>O214</t>
  </si>
  <si>
    <t>O215</t>
  </si>
  <si>
    <t>O216</t>
  </si>
  <si>
    <t>O217</t>
  </si>
  <si>
    <t>O218</t>
  </si>
  <si>
    <t>O219</t>
  </si>
  <si>
    <t>O220</t>
  </si>
  <si>
    <t>Sum of Revenue</t>
  </si>
  <si>
    <t>Average of Revenue</t>
  </si>
  <si>
    <t>Count of OrderID</t>
  </si>
  <si>
    <t>Sum of Units</t>
  </si>
  <si>
    <t>Grand Total</t>
  </si>
  <si>
    <t>Sales Performance Dashboard</t>
  </si>
  <si>
    <t>Total Revenue</t>
  </si>
  <si>
    <t>Total Units Sold</t>
  </si>
  <si>
    <t>Average Revenue Per Order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</si>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</sst>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24"/>
      <color rgb="FF00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14" fontId="0" fillId="0" borderId="0" xfId="0" applyNumberForma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pivotButton="1"/>
    <xf numFmtId="14" fontId="0" fillId="0" borderId="3" xfId="0" applyNumberForma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0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3" fillId="6" borderId="13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wrapText="1"/>
    </xf>
    <xf numFmtId="0" fontId="4" fillId="5" borderId="11" xfId="0" applyFont="1" applyFill="1" applyBorder="1" applyAlignment="1">
      <alignment horizontal="center" wrapText="1"/>
    </xf>
    <xf numFmtId="0" fontId="4" fillId="5" borderId="12" xfId="0" applyFont="1" applyFill="1" applyBorder="1" applyAlignment="1">
      <alignment horizontal="center" wrapText="1"/>
    </xf>
    <xf numFmtId="0" fontId="4" fillId="5" borderId="15" xfId="0" applyFont="1" applyFill="1" applyBorder="1" applyAlignment="1">
      <alignment horizontal="center" wrapText="1"/>
    </xf>
    <xf numFmtId="0" fontId="4" fillId="5" borderId="16" xfId="0" applyFont="1" applyFill="1" applyBorder="1" applyAlignment="1">
      <alignment horizontal="center" wrapText="1"/>
    </xf>
    <xf numFmtId="0" fontId="4" fillId="5" borderId="17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  <alignment horizontal="center" vertical="bottom" textRotation="0" wrapText="0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9" formatCode="m/d/yyyy"/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Sales Dashboard.xlsx]Pivot_analysis 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1'!$A$4:$A$5</c:f>
              <c:strCache>
                <c:ptCount val="1"/>
                <c:pt idx="0">
                  <c:v>North</c:v>
                </c:pt>
              </c:strCache>
            </c:strRef>
          </c:cat>
          <c:val>
            <c:numRef>
              <c:f>'Pivot_analysis 1'!$B$4:$B$5</c:f>
              <c:numCache>
                <c:formatCode>General</c:formatCode>
                <c:ptCount val="1"/>
                <c:pt idx="0">
                  <c:v>295000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FE4-4098-9E42-290937D54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6859400"/>
        <c:axId val="1916861448"/>
      </c:barChart>
      <c:catAx>
        <c:axId val="1916859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861448"/>
        <c:crosses val="autoZero"/>
        <c:auto val="1"/>
        <c:lblAlgn val="ctr"/>
        <c:lblOffset val="100"/>
        <c:noMultiLvlLbl val="0"/>
      </c:catAx>
      <c:valAx>
        <c:axId val="19168614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859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Sales Dashboard.xlsx]Pivot_Analysis 2!PivotTable1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E9713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97132"/>
            </a:solidFill>
            <a:ln>
              <a:noFill/>
            </a:ln>
            <a:effectLst/>
          </c:spPr>
          <c:invertIfNegative val="0"/>
          <c:cat>
            <c:strRef>
              <c:f>'Pivot_Analysis 2'!$A$4:$A$7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'Pivot_Analysis 2'!$B$4:$B$7</c:f>
              <c:numCache>
                <c:formatCode>General</c:formatCode>
                <c:ptCount val="3"/>
                <c:pt idx="0">
                  <c:v>120000</c:v>
                </c:pt>
                <c:pt idx="1">
                  <c:v>105000</c:v>
                </c:pt>
                <c:pt idx="2">
                  <c:v>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7-4D35-9F4F-ACB697B7C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8059399"/>
        <c:axId val="2036727815"/>
      </c:barChart>
      <c:catAx>
        <c:axId val="448059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727815"/>
        <c:crosses val="autoZero"/>
        <c:auto val="1"/>
        <c:lblAlgn val="ctr"/>
        <c:lblOffset val="100"/>
        <c:noMultiLvlLbl val="0"/>
      </c:catAx>
      <c:valAx>
        <c:axId val="20367278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059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Sales Dashboard.xlsx]Pivot_analysis 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Salesperson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7030A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'Pivot_analysis 3'!$B$3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'Pivot_analysis 3'!$A$4:$A$7</c:f>
              <c:strCache>
                <c:ptCount val="3"/>
                <c:pt idx="0">
                  <c:v>Ali</c:v>
                </c:pt>
                <c:pt idx="1">
                  <c:v>Ayesha</c:v>
                </c:pt>
                <c:pt idx="2">
                  <c:v>Ravi</c:v>
                </c:pt>
              </c:strCache>
            </c:strRef>
          </c:cat>
          <c:val>
            <c:numRef>
              <c:f>'Pivot_analysis 3'!$B$4:$B$7</c:f>
              <c:numCache>
                <c:formatCode>General</c:formatCode>
                <c:ptCount val="3"/>
                <c:pt idx="0">
                  <c:v>220000</c:v>
                </c:pt>
                <c:pt idx="1">
                  <c:v>30000</c:v>
                </c:pt>
                <c:pt idx="2">
                  <c:v>45000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63-4D53-9846-877931D89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8397959"/>
        <c:axId val="410641416"/>
      </c:lineChart>
      <c:catAx>
        <c:axId val="1638397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641416"/>
        <c:crosses val="autoZero"/>
        <c:auto val="1"/>
        <c:lblAlgn val="ctr"/>
        <c:lblOffset val="100"/>
        <c:noMultiLvlLbl val="0"/>
      </c:catAx>
      <c:valAx>
        <c:axId val="410641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397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Sales Dashboard.xlsx]Pivot_Analysis 4!PivotTable1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</a:t>
            </a:r>
          </a:p>
        </c:rich>
      </c:tx>
      <c:layout>
        <c:manualLayout>
          <c:xMode val="edge"/>
          <c:yMode val="edge"/>
          <c:x val="0.35885252048411981"/>
          <c:y val="4.39560439560439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rgbClr val="595959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rgbClr val="595959"/>
            </a:solidFill>
            <a:prstDash val="solid"/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rgbClr val="595959"/>
            </a:solidFill>
            <a:prstDash val="solid"/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rgbClr val="595959"/>
            </a:solidFill>
            <a:prstDash val="solid"/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rgbClr val="595959"/>
            </a:solidFill>
            <a:prstDash val="solid"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'Pivot_Analysis 4'!$B$3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595959"/>
              </a:solidFill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rgbClr val="59595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03-424D-AC6A-3759A96AC4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rgbClr val="59595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03-424D-AC6A-3759A96AC4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rgbClr val="59595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F103-424D-AC6A-3759A96AC4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rgbClr val="59595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F103-424D-AC6A-3759A96AC4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'Pivot_Analysis 4'!$A$4:$A$8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'Pivot_Analysis 4'!$B$4:$B$8</c:f>
              <c:numCache>
                <c:formatCode>0.00%</c:formatCode>
                <c:ptCount val="4"/>
                <c:pt idx="0">
                  <c:v>0.24662162162162163</c:v>
                </c:pt>
                <c:pt idx="1">
                  <c:v>0.19932432432432431</c:v>
                </c:pt>
                <c:pt idx="2">
                  <c:v>0.27027027027027029</c:v>
                </c:pt>
                <c:pt idx="3">
                  <c:v>0.28378378378378377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3C-4EDE-9C50-FFFFF7DA9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384511362309222"/>
          <c:y val="0.86323132685337411"/>
          <c:w val="0.49012938956400948"/>
          <c:h val="8.83170372934152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Sales Dashboard.xlsx]Pivot_analysis 1!PivotTable1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1'!$A$4:$A$5</c:f>
              <c:strCache>
                <c:ptCount val="1"/>
                <c:pt idx="0">
                  <c:v>North</c:v>
                </c:pt>
              </c:strCache>
            </c:strRef>
          </c:cat>
          <c:val>
            <c:numRef>
              <c:f>'Pivot_analysis 1'!$B$4:$B$5</c:f>
              <c:numCache>
                <c:formatCode>General</c:formatCode>
                <c:ptCount val="1"/>
                <c:pt idx="0">
                  <c:v>295000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8F-4460-85E6-77A5AE641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6859400"/>
        <c:axId val="1916861448"/>
      </c:barChart>
      <c:catAx>
        <c:axId val="1916859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861448"/>
        <c:crosses val="autoZero"/>
        <c:auto val="1"/>
        <c:lblAlgn val="ctr"/>
        <c:lblOffset val="100"/>
        <c:noMultiLvlLbl val="0"/>
      </c:catAx>
      <c:valAx>
        <c:axId val="19168614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859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Sales Dashboard.xlsx]Pivot_Analysis 2!PivotTable1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E9713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9713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9713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9713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9713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97132"/>
            </a:solidFill>
            <a:ln>
              <a:noFill/>
            </a:ln>
            <a:effectLst/>
          </c:spPr>
          <c:invertIfNegative val="0"/>
          <c:cat>
            <c:strRef>
              <c:f>'Pivot_Analysis 2'!$A$4:$A$7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'Pivot_Analysis 2'!$B$4:$B$7</c:f>
              <c:numCache>
                <c:formatCode>General</c:formatCode>
                <c:ptCount val="3"/>
                <c:pt idx="0">
                  <c:v>120000</c:v>
                </c:pt>
                <c:pt idx="1">
                  <c:v>105000</c:v>
                </c:pt>
                <c:pt idx="2">
                  <c:v>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D4-4182-B20A-F30D937D4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8059399"/>
        <c:axId val="2036727815"/>
      </c:barChart>
      <c:catAx>
        <c:axId val="448059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727815"/>
        <c:crosses val="autoZero"/>
        <c:auto val="1"/>
        <c:lblAlgn val="ctr"/>
        <c:lblOffset val="100"/>
        <c:noMultiLvlLbl val="0"/>
      </c:catAx>
      <c:valAx>
        <c:axId val="20367278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059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Sales Dashboard.xlsx]Pivot_analysis 3!PivotTable2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Salesperson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7030A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7030A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7030A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7030A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7030A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'Pivot_analysis 3'!$B$3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'Pivot_analysis 3'!$A$4:$A$7</c:f>
              <c:strCache>
                <c:ptCount val="3"/>
                <c:pt idx="0">
                  <c:v>Ali</c:v>
                </c:pt>
                <c:pt idx="1">
                  <c:v>Ayesha</c:v>
                </c:pt>
                <c:pt idx="2">
                  <c:v>Ravi</c:v>
                </c:pt>
              </c:strCache>
            </c:strRef>
          </c:cat>
          <c:val>
            <c:numRef>
              <c:f>'Pivot_analysis 3'!$B$4:$B$7</c:f>
              <c:numCache>
                <c:formatCode>General</c:formatCode>
                <c:ptCount val="3"/>
                <c:pt idx="0">
                  <c:v>220000</c:v>
                </c:pt>
                <c:pt idx="1">
                  <c:v>30000</c:v>
                </c:pt>
                <c:pt idx="2">
                  <c:v>45000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C8-4D41-9708-EFAABA8F8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8397959"/>
        <c:axId val="410641416"/>
      </c:lineChart>
      <c:catAx>
        <c:axId val="1638397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641416"/>
        <c:crosses val="autoZero"/>
        <c:auto val="1"/>
        <c:lblAlgn val="ctr"/>
        <c:lblOffset val="100"/>
        <c:noMultiLvlLbl val="0"/>
      </c:catAx>
      <c:valAx>
        <c:axId val="410641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397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Sales Dashboard.xlsx]Pivot_Analysis 4!PivotTable1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</a:t>
            </a:r>
          </a:p>
        </c:rich>
      </c:tx>
      <c:layout>
        <c:manualLayout>
          <c:xMode val="edge"/>
          <c:yMode val="edge"/>
          <c:x val="0.35885252048411981"/>
          <c:y val="4.39560439560439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rgbClr val="595959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rgbClr val="595959"/>
            </a:solidFill>
            <a:prstDash val="solid"/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rgbClr val="595959"/>
            </a:solidFill>
            <a:prstDash val="solid"/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rgbClr val="595959"/>
            </a:solidFill>
            <a:prstDash val="solid"/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rgbClr val="595959"/>
            </a:solidFill>
            <a:prstDash val="solid"/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rgbClr val="595959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rgbClr val="595959"/>
            </a:solidFill>
            <a:prstDash val="solid"/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rgbClr val="595959"/>
            </a:solidFill>
            <a:prstDash val="solid"/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rgbClr val="595959"/>
            </a:solidFill>
            <a:prstDash val="solid"/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rgbClr val="595959"/>
            </a:solidFill>
            <a:prstDash val="solid"/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rgbClr val="595959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rgbClr val="595959"/>
            </a:solidFill>
            <a:prstDash val="solid"/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rgbClr val="595959"/>
            </a:solidFill>
            <a:prstDash val="solid"/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rgbClr val="595959"/>
            </a:solidFill>
            <a:prstDash val="solid"/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rgbClr val="595959"/>
            </a:solidFill>
            <a:prstDash val="solid"/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rgbClr val="595959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rgbClr val="595959"/>
            </a:solidFill>
            <a:prstDash val="solid"/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rgbClr val="595959"/>
            </a:solidFill>
            <a:prstDash val="solid"/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rgbClr val="595959"/>
            </a:solidFill>
            <a:prstDash val="solid"/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rgbClr val="595959"/>
            </a:solidFill>
            <a:prstDash val="solid"/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rgbClr val="595959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rgbClr val="595959"/>
            </a:solidFill>
            <a:prstDash val="solid"/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rgbClr val="595959"/>
            </a:solidFill>
            <a:prstDash val="solid"/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rgbClr val="595959"/>
            </a:solidFill>
            <a:prstDash val="solid"/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rgbClr val="595959"/>
            </a:solidFill>
            <a:prstDash val="solid"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'Pivot_Analysis 4'!$B$3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595959"/>
              </a:solidFill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rgbClr val="59595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43AD-4867-841D-4AFDF57260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rgbClr val="59595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43AD-4867-841D-4AFDF57260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rgbClr val="59595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43AD-4867-841D-4AFDF572607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rgbClr val="59595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43AD-4867-841D-4AFDF572607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'Pivot_Analysis 4'!$A$4:$A$8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'Pivot_Analysis 4'!$B$4:$B$8</c:f>
              <c:numCache>
                <c:formatCode>0.00%</c:formatCode>
                <c:ptCount val="4"/>
                <c:pt idx="0">
                  <c:v>0.24662162162162163</c:v>
                </c:pt>
                <c:pt idx="1">
                  <c:v>0.19932432432432431</c:v>
                </c:pt>
                <c:pt idx="2">
                  <c:v>0.27027027027027029</c:v>
                </c:pt>
                <c:pt idx="3">
                  <c:v>0.28378378378378377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3AD-4867-841D-4AFDF5726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384511362309222"/>
          <c:y val="0.86323132685337411"/>
          <c:w val="0.49012938956400948"/>
          <c:h val="8.83170372934152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1</xdr:row>
      <xdr:rowOff>0</xdr:rowOff>
    </xdr:from>
    <xdr:to>
      <xdr:col>9</xdr:col>
      <xdr:colOff>523875</xdr:colOff>
      <xdr:row>13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4B3F72-9376-FE33-8F70-290FC5C0E2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0</xdr:row>
      <xdr:rowOff>180975</xdr:rowOff>
    </xdr:from>
    <xdr:to>
      <xdr:col>13</xdr:col>
      <xdr:colOff>361950</xdr:colOff>
      <xdr:row>8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egion">
              <a:extLst>
                <a:ext uri="{FF2B5EF4-FFF2-40B4-BE49-F238E27FC236}">
                  <a16:creationId xmlns:a16="http://schemas.microsoft.com/office/drawing/2014/main" id="{1027C2F0-B805-4A04-1FE2-C65364C89F6F}"/>
                </a:ext>
                <a:ext uri="{147F2762-F138-4A5C-976F-8EAC2B608ADB}">
                  <a16:predDERef xmlns:a16="http://schemas.microsoft.com/office/drawing/2014/main" pred="{F64B3F72-9376-FE33-8F70-290FC5C0E2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53225" y="180975"/>
              <a:ext cx="1828800" cy="1476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1</xdr:row>
      <xdr:rowOff>180975</xdr:rowOff>
    </xdr:from>
    <xdr:to>
      <xdr:col>10</xdr:col>
      <xdr:colOff>247650</xdr:colOff>
      <xdr:row>16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AC7818-B0B3-7B6A-98A5-5B89F96AF0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57150</xdr:colOff>
      <xdr:row>1</xdr:row>
      <xdr:rowOff>142875</xdr:rowOff>
    </xdr:from>
    <xdr:to>
      <xdr:col>14</xdr:col>
      <xdr:colOff>57150</xdr:colOff>
      <xdr:row>8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5BCC86D0-FEBC-B26B-CCBF-6CBC8751546F}"/>
                </a:ext>
                <a:ext uri="{147F2762-F138-4A5C-976F-8EAC2B608ADB}">
                  <a16:predDERef xmlns:a16="http://schemas.microsoft.com/office/drawing/2014/main" pred="{AEAC7818-B0B3-7B6A-98A5-5B89F96AF0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86625" y="333375"/>
              <a:ext cx="1828800" cy="1200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1</xdr:row>
      <xdr:rowOff>142875</xdr:rowOff>
    </xdr:from>
    <xdr:to>
      <xdr:col>10</xdr:col>
      <xdr:colOff>361950</xdr:colOff>
      <xdr:row>16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0303A0-9065-42EF-675D-B0DE18BD8B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180975</xdr:colOff>
      <xdr:row>1</xdr:row>
      <xdr:rowOff>152400</xdr:rowOff>
    </xdr:from>
    <xdr:to>
      <xdr:col>14</xdr:col>
      <xdr:colOff>180975</xdr:colOff>
      <xdr:row>11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alesperson">
              <a:extLst>
                <a:ext uri="{FF2B5EF4-FFF2-40B4-BE49-F238E27FC236}">
                  <a16:creationId xmlns:a16="http://schemas.microsoft.com/office/drawing/2014/main" id="{B4F55FF8-FC84-951C-53A6-ACA3A5472460}"/>
                </a:ext>
                <a:ext uri="{147F2762-F138-4A5C-976F-8EAC2B608ADB}">
                  <a16:predDERef xmlns:a16="http://schemas.microsoft.com/office/drawing/2014/main" pred="{760303A0-9065-42EF-675D-B0DE18BD8B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per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67625" y="342900"/>
              <a:ext cx="1828800" cy="1914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942975</xdr:colOff>
      <xdr:row>1</xdr:row>
      <xdr:rowOff>161925</xdr:rowOff>
    </xdr:from>
    <xdr:to>
      <xdr:col>9</xdr:col>
      <xdr:colOff>485775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9126DC-D1FA-2C5D-2F6C-56A7A99ECE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10</xdr:row>
      <xdr:rowOff>0</xdr:rowOff>
    </xdr:from>
    <xdr:to>
      <xdr:col>8</xdr:col>
      <xdr:colOff>0</xdr:colOff>
      <xdr:row>23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8E203A-4D6F-484A-98BE-3CB33C865E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247650</xdr:colOff>
      <xdr:row>10</xdr:row>
      <xdr:rowOff>0</xdr:rowOff>
    </xdr:from>
    <xdr:to>
      <xdr:col>15</xdr:col>
      <xdr:colOff>419100</xdr:colOff>
      <xdr:row>23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E44035-F7F1-45FD-BC7A-A901D0D9FB07}"/>
            </a:ext>
            <a:ext uri="{147F2762-F138-4A5C-976F-8EAC2B608ADB}">
              <a16:predDERef xmlns:a16="http://schemas.microsoft.com/office/drawing/2014/main" pred="{D38E203A-4D6F-484A-98BE-3CB33C865E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200025</xdr:colOff>
      <xdr:row>25</xdr:row>
      <xdr:rowOff>9525</xdr:rowOff>
    </xdr:from>
    <xdr:to>
      <xdr:col>8</xdr:col>
      <xdr:colOff>0</xdr:colOff>
      <xdr:row>40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E15CB7-97B1-42F9-A214-918B0565E3EB}"/>
            </a:ext>
            <a:ext uri="{147F2762-F138-4A5C-976F-8EAC2B608ADB}">
              <a16:predDERef xmlns:a16="http://schemas.microsoft.com/office/drawing/2014/main" pred="{ACE44035-F7F1-45FD-BC7A-A901D0D9FB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590550</xdr:colOff>
      <xdr:row>1</xdr:row>
      <xdr:rowOff>0</xdr:rowOff>
    </xdr:from>
    <xdr:to>
      <xdr:col>18</xdr:col>
      <xdr:colOff>552450</xdr:colOff>
      <xdr:row>8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Region 1">
              <a:extLst>
                <a:ext uri="{FF2B5EF4-FFF2-40B4-BE49-F238E27FC236}">
                  <a16:creationId xmlns:a16="http://schemas.microsoft.com/office/drawing/2014/main" id="{5E8C28F9-7F72-6252-7673-B14D27075263}"/>
                </a:ext>
                <a:ext uri="{147F2762-F138-4A5C-976F-8EAC2B608ADB}">
                  <a16:predDERef xmlns:a16="http://schemas.microsoft.com/office/drawing/2014/main" pred="{0EE15CB7-97B1-42F9-A214-918B0565E3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34625" y="190500"/>
              <a:ext cx="1181100" cy="1495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8</xdr:col>
      <xdr:colOff>247650</xdr:colOff>
      <xdr:row>25</xdr:row>
      <xdr:rowOff>0</xdr:rowOff>
    </xdr:from>
    <xdr:to>
      <xdr:col>15</xdr:col>
      <xdr:colOff>438150</xdr:colOff>
      <xdr:row>39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A2D7BCA-1B1B-450B-839F-D15012CFDC69}"/>
            </a:ext>
            <a:ext uri="{147F2762-F138-4A5C-976F-8EAC2B608ADB}">
              <a16:predDERef xmlns:a16="http://schemas.microsoft.com/office/drawing/2014/main" pred="{5E8C28F9-7F72-6252-7673-B14D270752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7.527774768518" createdVersion="8" refreshedVersion="8" minRefreshableVersion="3" recordCount="20" xr:uid="{F6297A17-1434-42CE-A65B-CD6D6321FC5B}">
  <cacheSource type="worksheet">
    <worksheetSource name="Table3"/>
  </cacheSource>
  <cacheFields count="7">
    <cacheField name="OrderID" numFmtId="0">
      <sharedItems/>
    </cacheField>
    <cacheField name="Date" numFmtId="0">
      <sharedItems containsDate="1" containsMixedTypes="1" minDate="2025-01-01T00:00:00" maxDate="2025-12-02T00:00:00" count="20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s v="13-01-2025"/>
        <s v="14-01-2025"/>
        <s v="15-01-2025"/>
        <s v="16-01-2025"/>
        <s v="17-01-2025"/>
        <s v="18-01-2025"/>
        <s v="19-01-2025"/>
        <s v="20-01-2025"/>
      </sharedItems>
    </cacheField>
    <cacheField name="Region" numFmtId="0">
      <sharedItems count="4">
        <s v="North"/>
        <s v="West"/>
        <s v="East"/>
        <s v="South"/>
      </sharedItems>
    </cacheField>
    <cacheField name="Salesperson" numFmtId="0">
      <sharedItems count="6">
        <s v="Ali"/>
        <s v="Sara"/>
        <s v="John"/>
        <s v="Neha"/>
        <s v="Ravi"/>
        <s v="Ayesha"/>
      </sharedItems>
    </cacheField>
    <cacheField name="Product" numFmtId="0">
      <sharedItems count="3">
        <s v="Laptop"/>
        <s v="Mobile"/>
        <s v="Tablet"/>
      </sharedItems>
    </cacheField>
    <cacheField name="Units" numFmtId="0">
      <sharedItems containsSemiMixedTypes="0" containsString="0" containsNumber="1" containsInteger="1" minValue="1" maxValue="6" count="6">
        <n v="2"/>
        <n v="5"/>
        <n v="1"/>
        <n v="4"/>
        <n v="3"/>
        <n v="6"/>
      </sharedItems>
    </cacheField>
    <cacheField name="Revenue" numFmtId="0">
      <sharedItems containsSemiMixedTypes="0" containsString="0" containsNumber="1" containsInteger="1" minValue="30000" maxValue="140000"/>
    </cacheField>
  </cacheFields>
  <extLst>
    <ext xmlns:x14="http://schemas.microsoft.com/office/spreadsheetml/2009/9/main" uri="{725AE2AE-9491-48be-B2B4-4EB974FC3084}">
      <x14:pivotCacheDefinition pivotCacheId="179719085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O201"/>
    <x v="0"/>
    <x v="0"/>
    <x v="0"/>
    <x v="0"/>
    <x v="0"/>
    <n v="120000"/>
  </r>
  <r>
    <s v="O202"/>
    <x v="1"/>
    <x v="1"/>
    <x v="1"/>
    <x v="1"/>
    <x v="1"/>
    <n v="75000"/>
  </r>
  <r>
    <s v="O203"/>
    <x v="2"/>
    <x v="2"/>
    <x v="2"/>
    <x v="0"/>
    <x v="2"/>
    <n v="60000"/>
  </r>
  <r>
    <s v="O204"/>
    <x v="3"/>
    <x v="3"/>
    <x v="3"/>
    <x v="2"/>
    <x v="3"/>
    <n v="80000"/>
  </r>
  <r>
    <s v="O205"/>
    <x v="4"/>
    <x v="0"/>
    <x v="4"/>
    <x v="1"/>
    <x v="4"/>
    <n v="45000"/>
  </r>
  <r>
    <s v="O206"/>
    <x v="5"/>
    <x v="1"/>
    <x v="1"/>
    <x v="0"/>
    <x v="0"/>
    <n v="130000"/>
  </r>
  <r>
    <s v="O207"/>
    <x v="6"/>
    <x v="2"/>
    <x v="2"/>
    <x v="1"/>
    <x v="3"/>
    <n v="60000"/>
  </r>
  <r>
    <s v="O208"/>
    <x v="7"/>
    <x v="3"/>
    <x v="3"/>
    <x v="0"/>
    <x v="2"/>
    <n v="70000"/>
  </r>
  <r>
    <s v="O209"/>
    <x v="8"/>
    <x v="0"/>
    <x v="0"/>
    <x v="2"/>
    <x v="0"/>
    <n v="40000"/>
  </r>
  <r>
    <s v="O210"/>
    <x v="9"/>
    <x v="1"/>
    <x v="1"/>
    <x v="2"/>
    <x v="4"/>
    <n v="60000"/>
  </r>
  <r>
    <s v="O211"/>
    <x v="10"/>
    <x v="2"/>
    <x v="5"/>
    <x v="0"/>
    <x v="0"/>
    <n v="140000"/>
  </r>
  <r>
    <s v="O212"/>
    <x v="11"/>
    <x v="3"/>
    <x v="4"/>
    <x v="1"/>
    <x v="1"/>
    <n v="80000"/>
  </r>
  <r>
    <s v="O213"/>
    <x v="12"/>
    <x v="0"/>
    <x v="0"/>
    <x v="1"/>
    <x v="3"/>
    <n v="60000"/>
  </r>
  <r>
    <s v="O214"/>
    <x v="13"/>
    <x v="1"/>
    <x v="3"/>
    <x v="0"/>
    <x v="2"/>
    <n v="65000"/>
  </r>
  <r>
    <s v="O215"/>
    <x v="14"/>
    <x v="2"/>
    <x v="2"/>
    <x v="2"/>
    <x v="4"/>
    <n v="75000"/>
  </r>
  <r>
    <s v="O216"/>
    <x v="15"/>
    <x v="3"/>
    <x v="4"/>
    <x v="0"/>
    <x v="0"/>
    <n v="120000"/>
  </r>
  <r>
    <s v="O217"/>
    <x v="16"/>
    <x v="0"/>
    <x v="5"/>
    <x v="2"/>
    <x v="2"/>
    <n v="30000"/>
  </r>
  <r>
    <s v="O218"/>
    <x v="17"/>
    <x v="1"/>
    <x v="1"/>
    <x v="1"/>
    <x v="5"/>
    <n v="90000"/>
  </r>
  <r>
    <s v="O219"/>
    <x v="18"/>
    <x v="2"/>
    <x v="0"/>
    <x v="1"/>
    <x v="0"/>
    <n v="30000"/>
  </r>
  <r>
    <s v="O220"/>
    <x v="19"/>
    <x v="3"/>
    <x v="3"/>
    <x v="2"/>
    <x v="0"/>
    <n v="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607108-DAB9-4D6E-B72B-9A4FF3DF3B2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3:C4" firstHeaderRow="1" firstDataRow="1" firstDataCol="0"/>
  <pivotFields count="7">
    <pivotField compact="0" outline="0" showAll="0"/>
    <pivotField compact="0" outline="0" showAll="0"/>
    <pivotField compact="0" outline="0" showAll="0">
      <items count="5">
        <item h="1" x="2"/>
        <item x="0"/>
        <item h="1" x="3"/>
        <item h="1" x="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</pivotFields>
  <rowItems count="1">
    <i/>
  </rowItems>
  <colItems count="1">
    <i/>
  </colItems>
  <dataFields count="1">
    <dataField name="Average of Revenue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AC1644-6663-4449-9C89-CB2ACD5519F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A4" firstHeaderRow="1" firstDataRow="1" firstDataCol="0"/>
  <pivotFields count="7">
    <pivotField compact="0" outline="0" showAll="0"/>
    <pivotField compact="0" outline="0" showAll="0"/>
    <pivotField compact="0" outline="0" showAll="0">
      <items count="5">
        <item h="1" x="2"/>
        <item x="0"/>
        <item h="1" x="3"/>
        <item h="1" x="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</pivotFields>
  <rowItems count="1">
    <i/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278ABF-71FF-4863-95B6-F608464E4A3A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6:C7" firstHeaderRow="1" firstDataRow="1" firstDataCol="0"/>
  <pivotFields count="7">
    <pivotField compact="0" outline="0" showAll="0"/>
    <pivotField compact="0" outline="0" showAll="0"/>
    <pivotField compact="0" outline="0" showAll="0">
      <items count="5">
        <item h="1" x="2"/>
        <item x="0"/>
        <item h="1" x="3"/>
        <item h="1"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</pivotFields>
  <rowItems count="1">
    <i/>
  </rowItems>
  <colItems count="1">
    <i/>
  </colItems>
  <dataFields count="1">
    <dataField name="Sum of Unit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2A906C-C9B5-4A38-97E5-43013A156368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A7" firstHeaderRow="1" firstDataRow="1" firstDataCol="0"/>
  <pivotFields count="7">
    <pivotField dataField="1" compact="0" outline="0" showAll="0"/>
    <pivotField compact="0" outline="0" showAll="0"/>
    <pivotField compact="0" outline="0" showAll="0">
      <items count="5">
        <item h="1" x="2"/>
        <item x="0"/>
        <item h="1" x="3"/>
        <item h="1"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E6B50A-D8E5-42B7-BFAB-217D3EC0ACD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5" firstHeaderRow="1" firstDataRow="1" firstDataCol="1"/>
  <pivotFields count="7">
    <pivotField compact="0" outline="0" showAll="0"/>
    <pivotField compact="0" outline="0" showAll="0"/>
    <pivotField axis="axisRow" compact="0" outline="0" showAll="0">
      <items count="5">
        <item h="1" x="2"/>
        <item x="0"/>
        <item h="1" x="3"/>
        <item h="1" x="1"/>
        <item t="default"/>
      </items>
    </pivotField>
    <pivotField compact="0" outline="0" showAll="0">
      <items count="7">
        <item x="0"/>
        <item x="5"/>
        <item x="2"/>
        <item x="3"/>
        <item x="4"/>
        <item x="1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7">
        <item x="2"/>
        <item x="0"/>
        <item x="4"/>
        <item x="3"/>
        <item x="1"/>
        <item x="5"/>
        <item t="default"/>
      </items>
    </pivotField>
    <pivotField dataField="1" compact="0" outline="0" showAll="0"/>
  </pivotFields>
  <rowFields count="1">
    <field x="2"/>
  </rowFields>
  <rowItems count="2">
    <i>
      <x v="1"/>
    </i>
    <i t="grand">
      <x/>
    </i>
  </rowItems>
  <colItems count="1">
    <i/>
  </colItems>
  <dataFields count="1">
    <dataField name="Sum of Revenue" fld="6" baseField="0" baseItem="0"/>
  </dataFields>
  <chartFormats count="5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469B2E-3876-404F-A870-79BCF790649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7" firstHeaderRow="1" firstDataRow="1" firstDataCol="1"/>
  <pivotFields count="7">
    <pivotField compact="0" outline="0" showAll="0"/>
    <pivotField compact="0" outline="0" showAll="0"/>
    <pivotField compact="0" outline="0" showAll="0">
      <items count="5">
        <item h="1" x="2"/>
        <item x="0"/>
        <item h="1" x="3"/>
        <item h="1" x="1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6" baseField="0" baseItem="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9EA632-48E6-4B63-AE14-F4C0599E3D0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7">
    <pivotField compact="0" outline="0" showAll="0"/>
    <pivotField compact="0" outline="0" showAll="0"/>
    <pivotField compact="0" outline="0" showAll="0">
      <items count="5">
        <item h="1" x="2"/>
        <item x="0"/>
        <item h="1" x="3"/>
        <item h="1" x="1"/>
        <item t="default"/>
      </items>
    </pivotField>
    <pivotField axis="axisRow" compact="0" outline="0" showAll="0">
      <items count="7">
        <item x="0"/>
        <item x="5"/>
        <item x="2"/>
        <item x="3"/>
        <item x="4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3"/>
  </rowFields>
  <rowItems count="4">
    <i>
      <x/>
    </i>
    <i>
      <x v="1"/>
    </i>
    <i>
      <x v="4"/>
    </i>
    <i t="grand">
      <x/>
    </i>
  </rowItems>
  <colItems count="1">
    <i/>
  </colItems>
  <dataFields count="1">
    <dataField name="Sum of Revenue" fld="6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745E77-C1B0-47AD-803F-04B320E71D2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8" firstHeaderRow="1" firstDataRow="1" firstDataCol="1"/>
  <pivotFields count="7">
    <pivotField compact="0" outline="0" showAll="0"/>
    <pivotField compact="0" outline="0" showAll="0"/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>
      <items count="7">
        <item x="0"/>
        <item x="5"/>
        <item x="2"/>
        <item x="3"/>
        <item x="4"/>
        <item x="1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7">
        <item x="2"/>
        <item x="0"/>
        <item x="4"/>
        <item x="3"/>
        <item x="1"/>
        <item x="5"/>
        <item t="default"/>
      </items>
    </pivotField>
    <pivotField dataField="1"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showDataAs="percentOfTotal" baseField="0" baseItem="0" numFmtId="10"/>
  </dataFields>
  <chartFormats count="4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8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CD4F61DB-E5AD-44B4-A90C-F0C2658E7A96}" sourceName="Region">
  <pivotTables>
    <pivotTable tabId="19" name="PivotTable1"/>
    <pivotTable tabId="24" name="PivotTable2"/>
    <pivotTable tabId="23" name="PivotTable1"/>
    <pivotTable tabId="26" name="PivotTable2"/>
    <pivotTable tabId="26" name="PivotTable7"/>
    <pivotTable tabId="26" name="PivotTable8"/>
    <pivotTable tabId="26" name="PivotTable6"/>
  </pivotTables>
  <data>
    <tabular pivotCacheId="1797190859">
      <items count="4">
        <i x="2"/>
        <i x="0" s="1"/>
        <i x="3"/>
        <i x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0A32C341-3CE9-403A-876D-654D6BD6BFFF}" sourceName="Product">
  <pivotTables>
    <pivotTable tabId="23" name="PivotTable1"/>
  </pivotTables>
  <data>
    <tabular pivotCacheId="1797190859">
      <items count="3"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alesperson" xr10:uid="{D0B6ABA4-A28D-4844-B248-CDCD97749DA8}" sourceName="Salesperson">
  <pivotTables>
    <pivotTable tabId="24" name="PivotTable2"/>
  </pivotTables>
  <data>
    <tabular pivotCacheId="1797190859">
      <items count="6">
        <i x="0" s="1"/>
        <i x="5" s="1"/>
        <i x="4" s="1"/>
        <i x="2" s="1" nd="1"/>
        <i x="3" s="1" nd="1"/>
        <i x="1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97523FED-8162-4F7E-A303-977A27E44866}" cache="Slicer_Region" caption="Region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8F622286-A75C-4FB7-BC29-73FEC244DD04}" cache="Slicer_Product" caption="Product" rowHeight="228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alesperson" xr10:uid="{F71195AA-705E-42F9-A218-256F1A4E9D60}" cache="Slicer_Salesperson" caption="Salesperson" rowHeight="2286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 1" xr10:uid="{AC87EBA5-D263-4968-9653-EE44BF253655}" cache="Slicer_Region" caption="Region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D9A147-BB06-4CDD-B627-48E8888A5B3B}" name="Table3" displayName="Table3" ref="A1:J21" totalsRowShown="0" headerRowDxfId="14" dataDxfId="12" headerRowBorderDxfId="13" tableBorderDxfId="11" totalsRowBorderDxfId="10">
  <autoFilter ref="A1:J21" xr:uid="{CDD9A147-BB06-4CDD-B627-48E8888A5B3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F3C0EBF8-4FB1-44E8-9819-6D523F8BE7A1}" name="OrderID" dataDxfId="9"/>
    <tableColumn id="2" xr3:uid="{7414D4BA-4127-4A23-B734-2E43A40A2811}" name="Date" dataDxfId="8"/>
    <tableColumn id="3" xr3:uid="{163779F8-2CCD-49A2-B7E5-3DFAE1DAA75E}" name="Region" dataDxfId="7"/>
    <tableColumn id="4" xr3:uid="{448CA3A4-CC65-401A-94BF-83F8A23D1736}" name="Salesperson" dataDxfId="6"/>
    <tableColumn id="5" xr3:uid="{E578CFEF-A9E6-4CD6-94FA-791CF1A1F084}" name="Product" dataDxfId="5"/>
    <tableColumn id="6" xr3:uid="{37BA4FC6-2414-45E1-BAA9-B74E387F4FE1}" name="Units" dataDxfId="4"/>
    <tableColumn id="7" xr3:uid="{A4DDBA78-BEBF-4DAB-96A4-80B4E9AB4533}" name="Revenue" dataDxfId="3"/>
    <tableColumn id="8" xr3:uid="{09546BF1-16B1-479A-84A4-335BB7E192B2}" name="Months" dataDxfId="2">
      <calculatedColumnFormula>TEXT(Table3[[#This Row],[Date]], "mmm")</calculatedColumnFormula>
    </tableColumn>
    <tableColumn id="9" xr3:uid="{074E0242-1AB9-4340-A30B-629E9F4663A9}" name="Year" dataDxfId="1">
      <calculatedColumnFormula>YEAR(Table3[[#This Row],[Date]])</calculatedColumnFormula>
    </tableColumn>
    <tableColumn id="10" xr3:uid="{363224C9-690A-4826-BB08-711F28CEA6F2}" name="Sales Category" dataDxfId="0">
      <calculatedColumnFormula>IF(AND(G2&gt;50000,F2&gt;=10),"High","Low")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B0BA9D-81A0-4630-8948-7815797B1D6C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UUAhBkV0WRIIDr-aWFgU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25F83-13B9-4CF2-95A0-82B68304A8D9}">
  <dimension ref="A1:J21"/>
  <sheetViews>
    <sheetView workbookViewId="0"/>
  </sheetViews>
  <sheetFormatPr defaultRowHeight="15" x14ac:dyDescent="0.25"/>
  <cols>
    <col min="1" max="1" width="10.140625" bestFit="1" customWidth="1"/>
    <col min="2" max="2" width="10.85546875" style="1" bestFit="1" customWidth="1"/>
    <col min="4" max="4" width="14.140625" bestFit="1" customWidth="1"/>
    <col min="5" max="5" width="10.140625" bestFit="1" customWidth="1"/>
    <col min="7" max="8" width="10.85546875" bestFit="1" customWidth="1"/>
    <col min="10" max="10" width="13.42578125" bestFit="1" customWidth="1"/>
  </cols>
  <sheetData>
    <row r="1" spans="1:10" x14ac:dyDescent="0.25">
      <c r="A1" s="6" t="s">
        <v>0</v>
      </c>
      <c r="B1" s="1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9" t="s">
        <v>9</v>
      </c>
    </row>
    <row r="2" spans="1:10" x14ac:dyDescent="0.25">
      <c r="A2" s="7" t="s">
        <v>10</v>
      </c>
      <c r="B2" s="3">
        <v>45658</v>
      </c>
      <c r="C2" s="2" t="s">
        <v>11</v>
      </c>
      <c r="D2" s="2" t="s">
        <v>12</v>
      </c>
      <c r="E2" s="2" t="s">
        <v>13</v>
      </c>
      <c r="F2" s="2">
        <v>2</v>
      </c>
      <c r="G2" s="2">
        <v>120000</v>
      </c>
      <c r="H2" s="2" t="str">
        <f>TEXT(Table3[[#This Row],[Date]], "mmm")</f>
        <v>Jan</v>
      </c>
      <c r="I2" s="2">
        <f>YEAR(Table3[[#This Row],[Date]])</f>
        <v>2025</v>
      </c>
      <c r="J2" s="10" t="str">
        <f>IF(AND(G2&gt;50000,F2&gt;=10),"High","Low")</f>
        <v>Low</v>
      </c>
    </row>
    <row r="3" spans="1:10" x14ac:dyDescent="0.25">
      <c r="A3" s="7" t="s">
        <v>14</v>
      </c>
      <c r="B3" s="3">
        <v>45689</v>
      </c>
      <c r="C3" s="2" t="s">
        <v>15</v>
      </c>
      <c r="D3" s="2" t="s">
        <v>16</v>
      </c>
      <c r="E3" s="2" t="s">
        <v>17</v>
      </c>
      <c r="F3" s="2">
        <v>5</v>
      </c>
      <c r="G3" s="2">
        <v>75000</v>
      </c>
      <c r="H3" s="2" t="str">
        <f>TEXT(Table3[[#This Row],[Date]], "mmm")</f>
        <v>Feb</v>
      </c>
      <c r="I3" s="2">
        <f>YEAR(Table3[[#This Row],[Date]])</f>
        <v>2025</v>
      </c>
      <c r="J3" s="10" t="str">
        <f t="shared" ref="J3:J21" si="0">IF(AND(G3&gt;50000,F3&gt;=10),"High","Low")</f>
        <v>Low</v>
      </c>
    </row>
    <row r="4" spans="1:10" x14ac:dyDescent="0.25">
      <c r="A4" s="7" t="s">
        <v>18</v>
      </c>
      <c r="B4" s="3">
        <v>45717</v>
      </c>
      <c r="C4" s="2" t="s">
        <v>19</v>
      </c>
      <c r="D4" s="2" t="s">
        <v>20</v>
      </c>
      <c r="E4" s="2" t="s">
        <v>13</v>
      </c>
      <c r="F4" s="2">
        <v>1</v>
      </c>
      <c r="G4" s="2">
        <v>60000</v>
      </c>
      <c r="H4" s="2" t="str">
        <f>TEXT(Table3[[#This Row],[Date]], "mmm")</f>
        <v>Mar</v>
      </c>
      <c r="I4" s="2">
        <f>YEAR(Table3[[#This Row],[Date]])</f>
        <v>2025</v>
      </c>
      <c r="J4" s="10" t="str">
        <f t="shared" si="0"/>
        <v>Low</v>
      </c>
    </row>
    <row r="5" spans="1:10" x14ac:dyDescent="0.25">
      <c r="A5" s="7" t="s">
        <v>21</v>
      </c>
      <c r="B5" s="3">
        <v>45748</v>
      </c>
      <c r="C5" s="2" t="s">
        <v>22</v>
      </c>
      <c r="D5" s="2" t="s">
        <v>23</v>
      </c>
      <c r="E5" s="2" t="s">
        <v>24</v>
      </c>
      <c r="F5" s="2">
        <v>4</v>
      </c>
      <c r="G5" s="2">
        <v>80000</v>
      </c>
      <c r="H5" s="2" t="str">
        <f>TEXT(Table3[[#This Row],[Date]], "mmm")</f>
        <v>Apr</v>
      </c>
      <c r="I5" s="2">
        <f>YEAR(Table3[[#This Row],[Date]])</f>
        <v>2025</v>
      </c>
      <c r="J5" s="10" t="str">
        <f t="shared" si="0"/>
        <v>Low</v>
      </c>
    </row>
    <row r="6" spans="1:10" x14ac:dyDescent="0.25">
      <c r="A6" s="7" t="s">
        <v>25</v>
      </c>
      <c r="B6" s="3">
        <v>45778</v>
      </c>
      <c r="C6" s="2" t="s">
        <v>11</v>
      </c>
      <c r="D6" s="2" t="s">
        <v>26</v>
      </c>
      <c r="E6" s="2" t="s">
        <v>17</v>
      </c>
      <c r="F6" s="2">
        <v>3</v>
      </c>
      <c r="G6" s="2">
        <v>45000</v>
      </c>
      <c r="H6" s="2" t="str">
        <f>TEXT(Table3[[#This Row],[Date]], "mmm")</f>
        <v>May</v>
      </c>
      <c r="I6" s="2">
        <f>YEAR(Table3[[#This Row],[Date]])</f>
        <v>2025</v>
      </c>
      <c r="J6" s="10" t="str">
        <f t="shared" si="0"/>
        <v>Low</v>
      </c>
    </row>
    <row r="7" spans="1:10" x14ac:dyDescent="0.25">
      <c r="A7" s="7" t="s">
        <v>27</v>
      </c>
      <c r="B7" s="3">
        <v>45809</v>
      </c>
      <c r="C7" s="2" t="s">
        <v>15</v>
      </c>
      <c r="D7" s="2" t="s">
        <v>16</v>
      </c>
      <c r="E7" s="2" t="s">
        <v>13</v>
      </c>
      <c r="F7" s="2">
        <v>2</v>
      </c>
      <c r="G7" s="2">
        <v>130000</v>
      </c>
      <c r="H7" s="2" t="str">
        <f>TEXT(Table3[[#This Row],[Date]], "mmm")</f>
        <v>Jun</v>
      </c>
      <c r="I7" s="2">
        <f>YEAR(Table3[[#This Row],[Date]])</f>
        <v>2025</v>
      </c>
      <c r="J7" s="10" t="str">
        <f t="shared" si="0"/>
        <v>Low</v>
      </c>
    </row>
    <row r="8" spans="1:10" x14ac:dyDescent="0.25">
      <c r="A8" s="7" t="s">
        <v>28</v>
      </c>
      <c r="B8" s="3">
        <v>45839</v>
      </c>
      <c r="C8" s="2" t="s">
        <v>19</v>
      </c>
      <c r="D8" s="2" t="s">
        <v>20</v>
      </c>
      <c r="E8" s="2" t="s">
        <v>17</v>
      </c>
      <c r="F8" s="2">
        <v>4</v>
      </c>
      <c r="G8" s="2">
        <v>60000</v>
      </c>
      <c r="H8" s="2" t="str">
        <f>TEXT(Table3[[#This Row],[Date]], "mmm")</f>
        <v>Jul</v>
      </c>
      <c r="I8" s="2">
        <f>YEAR(Table3[[#This Row],[Date]])</f>
        <v>2025</v>
      </c>
      <c r="J8" s="10" t="str">
        <f t="shared" si="0"/>
        <v>Low</v>
      </c>
    </row>
    <row r="9" spans="1:10" x14ac:dyDescent="0.25">
      <c r="A9" s="7" t="s">
        <v>29</v>
      </c>
      <c r="B9" s="3">
        <v>45870</v>
      </c>
      <c r="C9" s="2" t="s">
        <v>22</v>
      </c>
      <c r="D9" s="2" t="s">
        <v>23</v>
      </c>
      <c r="E9" s="2" t="s">
        <v>13</v>
      </c>
      <c r="F9" s="2">
        <v>1</v>
      </c>
      <c r="G9" s="2">
        <v>70000</v>
      </c>
      <c r="H9" s="2" t="str">
        <f>TEXT(Table3[[#This Row],[Date]], "mmm")</f>
        <v>Aug</v>
      </c>
      <c r="I9" s="2">
        <f>YEAR(Table3[[#This Row],[Date]])</f>
        <v>2025</v>
      </c>
      <c r="J9" s="10" t="str">
        <f t="shared" si="0"/>
        <v>Low</v>
      </c>
    </row>
    <row r="10" spans="1:10" x14ac:dyDescent="0.25">
      <c r="A10" s="7" t="s">
        <v>30</v>
      </c>
      <c r="B10" s="3">
        <v>45901</v>
      </c>
      <c r="C10" s="2" t="s">
        <v>11</v>
      </c>
      <c r="D10" s="2" t="s">
        <v>12</v>
      </c>
      <c r="E10" s="2" t="s">
        <v>24</v>
      </c>
      <c r="F10" s="2">
        <v>2</v>
      </c>
      <c r="G10" s="2">
        <v>40000</v>
      </c>
      <c r="H10" s="2" t="str">
        <f>TEXT(Table3[[#This Row],[Date]], "mmm")</f>
        <v>Sep</v>
      </c>
      <c r="I10" s="2">
        <f>YEAR(Table3[[#This Row],[Date]])</f>
        <v>2025</v>
      </c>
      <c r="J10" s="10" t="str">
        <f t="shared" si="0"/>
        <v>Low</v>
      </c>
    </row>
    <row r="11" spans="1:10" x14ac:dyDescent="0.25">
      <c r="A11" s="7" t="s">
        <v>31</v>
      </c>
      <c r="B11" s="3">
        <v>45931</v>
      </c>
      <c r="C11" s="2" t="s">
        <v>15</v>
      </c>
      <c r="D11" s="2" t="s">
        <v>16</v>
      </c>
      <c r="E11" s="2" t="s">
        <v>24</v>
      </c>
      <c r="F11" s="2">
        <v>3</v>
      </c>
      <c r="G11" s="2">
        <v>60000</v>
      </c>
      <c r="H11" s="2" t="str">
        <f>TEXT(Table3[[#This Row],[Date]], "mmm")</f>
        <v>Oct</v>
      </c>
      <c r="I11" s="2">
        <f>YEAR(Table3[[#This Row],[Date]])</f>
        <v>2025</v>
      </c>
      <c r="J11" s="10" t="str">
        <f t="shared" si="0"/>
        <v>Low</v>
      </c>
    </row>
    <row r="12" spans="1:10" x14ac:dyDescent="0.25">
      <c r="A12" s="7" t="s">
        <v>32</v>
      </c>
      <c r="B12" s="3">
        <v>45962</v>
      </c>
      <c r="C12" s="2" t="s">
        <v>19</v>
      </c>
      <c r="D12" s="2" t="s">
        <v>33</v>
      </c>
      <c r="E12" s="2" t="s">
        <v>13</v>
      </c>
      <c r="F12" s="2">
        <v>2</v>
      </c>
      <c r="G12" s="2">
        <v>140000</v>
      </c>
      <c r="H12" s="2" t="str">
        <f>TEXT(Table3[[#This Row],[Date]], "mmm")</f>
        <v>Nov</v>
      </c>
      <c r="I12" s="2">
        <f>YEAR(Table3[[#This Row],[Date]])</f>
        <v>2025</v>
      </c>
      <c r="J12" s="10" t="str">
        <f t="shared" si="0"/>
        <v>Low</v>
      </c>
    </row>
    <row r="13" spans="1:10" x14ac:dyDescent="0.25">
      <c r="A13" s="7" t="s">
        <v>34</v>
      </c>
      <c r="B13" s="3">
        <v>45992</v>
      </c>
      <c r="C13" s="2" t="s">
        <v>22</v>
      </c>
      <c r="D13" s="2" t="s">
        <v>26</v>
      </c>
      <c r="E13" s="2" t="s">
        <v>17</v>
      </c>
      <c r="F13" s="2">
        <v>5</v>
      </c>
      <c r="G13" s="2">
        <v>80000</v>
      </c>
      <c r="H13" s="2" t="str">
        <f>TEXT(Table3[[#This Row],[Date]], "mmm")</f>
        <v>Dec</v>
      </c>
      <c r="I13" s="2">
        <f>YEAR(Table3[[#This Row],[Date]])</f>
        <v>2025</v>
      </c>
      <c r="J13" s="10" t="str">
        <f t="shared" si="0"/>
        <v>Low</v>
      </c>
    </row>
    <row r="14" spans="1:10" x14ac:dyDescent="0.25">
      <c r="A14" s="7" t="s">
        <v>35</v>
      </c>
      <c r="B14" s="3">
        <v>46023</v>
      </c>
      <c r="C14" s="2" t="s">
        <v>11</v>
      </c>
      <c r="D14" s="2" t="s">
        <v>12</v>
      </c>
      <c r="E14" s="2" t="s">
        <v>17</v>
      </c>
      <c r="F14" s="2">
        <v>4</v>
      </c>
      <c r="G14" s="2">
        <v>60000</v>
      </c>
      <c r="H14" s="2" t="str">
        <f>TEXT(Table3[[#This Row],[Date]], "mmm")</f>
        <v>Jan</v>
      </c>
      <c r="I14" s="2">
        <v>2026</v>
      </c>
      <c r="J14" s="10" t="str">
        <f t="shared" si="0"/>
        <v>Low</v>
      </c>
    </row>
    <row r="15" spans="1:10" x14ac:dyDescent="0.25">
      <c r="A15" s="7" t="s">
        <v>36</v>
      </c>
      <c r="B15" s="3">
        <v>46054</v>
      </c>
      <c r="C15" s="2" t="s">
        <v>15</v>
      </c>
      <c r="D15" s="2" t="s">
        <v>23</v>
      </c>
      <c r="E15" s="2" t="s">
        <v>13</v>
      </c>
      <c r="F15" s="2">
        <v>1</v>
      </c>
      <c r="G15" s="2">
        <v>65000</v>
      </c>
      <c r="H15" s="2" t="str">
        <f>TEXT(Table3[[#This Row],[Date]], "mmm")</f>
        <v>Feb</v>
      </c>
      <c r="I15" s="2">
        <v>2026</v>
      </c>
      <c r="J15" s="10" t="str">
        <f t="shared" si="0"/>
        <v>Low</v>
      </c>
    </row>
    <row r="16" spans="1:10" x14ac:dyDescent="0.25">
      <c r="A16" s="7" t="s">
        <v>37</v>
      </c>
      <c r="B16" s="3">
        <v>46082</v>
      </c>
      <c r="C16" s="2" t="s">
        <v>19</v>
      </c>
      <c r="D16" s="2" t="s">
        <v>20</v>
      </c>
      <c r="E16" s="2" t="s">
        <v>24</v>
      </c>
      <c r="F16" s="2">
        <v>3</v>
      </c>
      <c r="G16" s="2">
        <v>75000</v>
      </c>
      <c r="H16" s="2" t="str">
        <f>TEXT(Table3[[#This Row],[Date]], "mmm")</f>
        <v>Mar</v>
      </c>
      <c r="I16" s="2">
        <v>2026</v>
      </c>
      <c r="J16" s="10" t="str">
        <f t="shared" si="0"/>
        <v>Low</v>
      </c>
    </row>
    <row r="17" spans="1:10" x14ac:dyDescent="0.25">
      <c r="A17" s="7" t="s">
        <v>38</v>
      </c>
      <c r="B17" s="3">
        <v>46113</v>
      </c>
      <c r="C17" s="2" t="s">
        <v>22</v>
      </c>
      <c r="D17" s="2" t="s">
        <v>26</v>
      </c>
      <c r="E17" s="2" t="s">
        <v>13</v>
      </c>
      <c r="F17" s="2">
        <v>2</v>
      </c>
      <c r="G17" s="2">
        <v>120000</v>
      </c>
      <c r="H17" s="2" t="str">
        <f>TEXT(Table3[[#This Row],[Date]], "mmm")</f>
        <v>Apr</v>
      </c>
      <c r="I17" s="2">
        <v>2026</v>
      </c>
      <c r="J17" s="10" t="str">
        <f t="shared" si="0"/>
        <v>Low</v>
      </c>
    </row>
    <row r="18" spans="1:10" x14ac:dyDescent="0.25">
      <c r="A18" s="7" t="s">
        <v>39</v>
      </c>
      <c r="B18" s="3">
        <v>46143</v>
      </c>
      <c r="C18" s="2" t="s">
        <v>11</v>
      </c>
      <c r="D18" s="2" t="s">
        <v>33</v>
      </c>
      <c r="E18" s="2" t="s">
        <v>24</v>
      </c>
      <c r="F18" s="2">
        <v>1</v>
      </c>
      <c r="G18" s="2">
        <v>30000</v>
      </c>
      <c r="H18" s="2" t="str">
        <f>TEXT(Table3[[#This Row],[Date]], "mmm")</f>
        <v>May</v>
      </c>
      <c r="I18" s="2">
        <v>2026</v>
      </c>
      <c r="J18" s="10" t="str">
        <f t="shared" si="0"/>
        <v>Low</v>
      </c>
    </row>
    <row r="19" spans="1:10" x14ac:dyDescent="0.25">
      <c r="A19" s="7" t="s">
        <v>40</v>
      </c>
      <c r="B19" s="3">
        <v>46174</v>
      </c>
      <c r="C19" s="2" t="s">
        <v>15</v>
      </c>
      <c r="D19" s="2" t="s">
        <v>16</v>
      </c>
      <c r="E19" s="2" t="s">
        <v>17</v>
      </c>
      <c r="F19" s="2">
        <v>6</v>
      </c>
      <c r="G19" s="2">
        <v>90000</v>
      </c>
      <c r="H19" s="2" t="str">
        <f>TEXT(Table3[[#This Row],[Date]], "mmm")</f>
        <v>Jun</v>
      </c>
      <c r="I19" s="2">
        <v>2026</v>
      </c>
      <c r="J19" s="10" t="str">
        <f t="shared" si="0"/>
        <v>Low</v>
      </c>
    </row>
    <row r="20" spans="1:10" x14ac:dyDescent="0.25">
      <c r="A20" s="7" t="s">
        <v>41</v>
      </c>
      <c r="B20" s="3">
        <v>46204</v>
      </c>
      <c r="C20" s="2" t="s">
        <v>19</v>
      </c>
      <c r="D20" s="2" t="s">
        <v>12</v>
      </c>
      <c r="E20" s="2" t="s">
        <v>17</v>
      </c>
      <c r="F20" s="2">
        <v>2</v>
      </c>
      <c r="G20" s="2">
        <v>30000</v>
      </c>
      <c r="H20" s="2" t="str">
        <f>TEXT(Table3[[#This Row],[Date]], "mmm")</f>
        <v>Jul</v>
      </c>
      <c r="I20" s="2">
        <v>2026</v>
      </c>
      <c r="J20" s="10" t="str">
        <f t="shared" si="0"/>
        <v>Low</v>
      </c>
    </row>
    <row r="21" spans="1:10" x14ac:dyDescent="0.25">
      <c r="A21" s="8" t="s">
        <v>42</v>
      </c>
      <c r="B21" s="13">
        <v>46235</v>
      </c>
      <c r="C21" s="5" t="s">
        <v>22</v>
      </c>
      <c r="D21" s="5" t="s">
        <v>23</v>
      </c>
      <c r="E21" s="5" t="s">
        <v>24</v>
      </c>
      <c r="F21" s="5">
        <v>2</v>
      </c>
      <c r="G21" s="5">
        <v>50000</v>
      </c>
      <c r="H21" s="5" t="str">
        <f>TEXT(Table3[[#This Row],[Date]], "mmm")</f>
        <v>Aug</v>
      </c>
      <c r="I21" s="5">
        <v>2026</v>
      </c>
      <c r="J21" s="11" t="str">
        <f t="shared" si="0"/>
        <v>Low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A407A-DEFE-4170-B667-A42E4663BFF8}">
  <dimension ref="A3:C7"/>
  <sheetViews>
    <sheetView workbookViewId="0">
      <selection activeCell="A3" sqref="A3:A4"/>
    </sheetView>
  </sheetViews>
  <sheetFormatPr defaultRowHeight="15" x14ac:dyDescent="0.25"/>
  <cols>
    <col min="1" max="1" width="16.5703125" bestFit="1" customWidth="1"/>
    <col min="3" max="3" width="19.140625" bestFit="1" customWidth="1"/>
  </cols>
  <sheetData>
    <row r="3" spans="1:3" x14ac:dyDescent="0.25">
      <c r="A3" t="s">
        <v>43</v>
      </c>
      <c r="C3" t="s">
        <v>44</v>
      </c>
    </row>
    <row r="4" spans="1:3" x14ac:dyDescent="0.25">
      <c r="A4" s="66">
        <v>295000</v>
      </c>
      <c r="C4" s="66">
        <v>59000</v>
      </c>
    </row>
    <row r="6" spans="1:3" x14ac:dyDescent="0.25">
      <c r="A6" t="s">
        <v>45</v>
      </c>
      <c r="C6" t="s">
        <v>46</v>
      </c>
    </row>
    <row r="7" spans="1:3" x14ac:dyDescent="0.25">
      <c r="A7" s="66">
        <v>5</v>
      </c>
      <c r="C7" s="66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2B7D4-909E-418E-A295-C375F01E629E}">
  <dimension ref="A3:L14"/>
  <sheetViews>
    <sheetView workbookViewId="0">
      <selection activeCell="G16" sqref="G16"/>
    </sheetView>
  </sheetViews>
  <sheetFormatPr defaultRowHeight="15" x14ac:dyDescent="0.25"/>
  <cols>
    <col min="1" max="1" width="11.28515625" bestFit="1" customWidth="1"/>
    <col min="2" max="2" width="15.85546875" bestFit="1" customWidth="1"/>
    <col min="3" max="4" width="7.42578125" bestFit="1" customWidth="1"/>
    <col min="5" max="6" width="11.140625" bestFit="1" customWidth="1"/>
    <col min="7" max="8" width="7.42578125" bestFit="1" customWidth="1"/>
    <col min="9" max="9" width="11.42578125" customWidth="1"/>
    <col min="10" max="10" width="11.7109375" bestFit="1" customWidth="1"/>
    <col min="11" max="11" width="8.28515625" bestFit="1" customWidth="1"/>
    <col min="12" max="12" width="6.28515625" bestFit="1" customWidth="1"/>
    <col min="13" max="13" width="7.42578125" bestFit="1" customWidth="1"/>
    <col min="14" max="14" width="6.28515625" bestFit="1" customWidth="1"/>
    <col min="15" max="16" width="11.140625" bestFit="1" customWidth="1"/>
  </cols>
  <sheetData>
    <row r="3" spans="1:12" x14ac:dyDescent="0.25">
      <c r="A3" s="12" t="s">
        <v>2</v>
      </c>
      <c r="B3" t="s">
        <v>43</v>
      </c>
    </row>
    <row r="4" spans="1:12" x14ac:dyDescent="0.25">
      <c r="A4" t="s">
        <v>11</v>
      </c>
      <c r="B4" s="66">
        <v>295000</v>
      </c>
    </row>
    <row r="5" spans="1:12" x14ac:dyDescent="0.25">
      <c r="A5" t="s">
        <v>47</v>
      </c>
      <c r="B5" s="66">
        <v>295000</v>
      </c>
    </row>
    <row r="12" spans="1:12" ht="15" customHeight="1" x14ac:dyDescent="0.25">
      <c r="B12" s="23"/>
      <c r="C12" s="23"/>
      <c r="D12" s="23"/>
      <c r="F12" s="22"/>
      <c r="G12" s="22"/>
      <c r="H12" s="22"/>
      <c r="J12" s="22"/>
      <c r="K12" s="22"/>
      <c r="L12" s="22"/>
    </row>
    <row r="13" spans="1:12" ht="15" customHeight="1" x14ac:dyDescent="0.25">
      <c r="B13" s="16"/>
      <c r="C13" s="16"/>
      <c r="D13" s="16"/>
      <c r="F13" s="17"/>
      <c r="G13" s="17"/>
      <c r="H13" s="17"/>
      <c r="J13" s="15"/>
      <c r="K13" s="15"/>
      <c r="L13" s="15"/>
    </row>
    <row r="14" spans="1:12" ht="15" customHeight="1" x14ac:dyDescent="0.25">
      <c r="B14" s="16"/>
      <c r="C14" s="16"/>
      <c r="D14" s="16"/>
      <c r="F14" s="17"/>
      <c r="G14" s="17"/>
      <c r="H14" s="17"/>
      <c r="J14" s="15"/>
      <c r="K14" s="15"/>
      <c r="L14" s="15"/>
    </row>
  </sheetData>
  <mergeCells count="3">
    <mergeCell ref="J12:L12"/>
    <mergeCell ref="B12:D12"/>
    <mergeCell ref="F12:H12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0EDD9-C020-49BE-A831-8663ED13E37B}">
  <dimension ref="A3:B7"/>
  <sheetViews>
    <sheetView workbookViewId="0">
      <selection activeCell="M14" sqref="M14"/>
    </sheetView>
  </sheetViews>
  <sheetFormatPr defaultRowHeight="15" x14ac:dyDescent="0.25"/>
  <cols>
    <col min="1" max="1" width="11.28515625" bestFit="1" customWidth="1"/>
    <col min="2" max="2" width="15.85546875" bestFit="1" customWidth="1"/>
  </cols>
  <sheetData>
    <row r="3" spans="1:2" x14ac:dyDescent="0.25">
      <c r="A3" s="12" t="s">
        <v>4</v>
      </c>
      <c r="B3" t="s">
        <v>43</v>
      </c>
    </row>
    <row r="4" spans="1:2" x14ac:dyDescent="0.25">
      <c r="A4" t="s">
        <v>13</v>
      </c>
      <c r="B4" s="66">
        <v>120000</v>
      </c>
    </row>
    <row r="5" spans="1:2" x14ac:dyDescent="0.25">
      <c r="A5" t="s">
        <v>17</v>
      </c>
      <c r="B5" s="66">
        <v>105000</v>
      </c>
    </row>
    <row r="6" spans="1:2" x14ac:dyDescent="0.25">
      <c r="A6" t="s">
        <v>24</v>
      </c>
      <c r="B6" s="66">
        <v>70000</v>
      </c>
    </row>
    <row r="7" spans="1:2" x14ac:dyDescent="0.25">
      <c r="A7" t="s">
        <v>47</v>
      </c>
      <c r="B7" s="66">
        <v>295000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9DC6E-15CE-40E5-ACD7-18D31E5C7AAF}">
  <dimension ref="A3:B7"/>
  <sheetViews>
    <sheetView workbookViewId="0">
      <selection activeCell="Q7" sqref="Q7"/>
    </sheetView>
  </sheetViews>
  <sheetFormatPr defaultRowHeight="15" x14ac:dyDescent="0.25"/>
  <cols>
    <col min="1" max="1" width="14.42578125" bestFit="1" customWidth="1"/>
    <col min="2" max="2" width="15.85546875" bestFit="1" customWidth="1"/>
  </cols>
  <sheetData>
    <row r="3" spans="1:2" x14ac:dyDescent="0.25">
      <c r="A3" s="12" t="s">
        <v>3</v>
      </c>
      <c r="B3" t="s">
        <v>43</v>
      </c>
    </row>
    <row r="4" spans="1:2" x14ac:dyDescent="0.25">
      <c r="A4" t="s">
        <v>12</v>
      </c>
      <c r="B4" s="66">
        <v>220000</v>
      </c>
    </row>
    <row r="5" spans="1:2" x14ac:dyDescent="0.25">
      <c r="A5" t="s">
        <v>33</v>
      </c>
      <c r="B5" s="66">
        <v>30000</v>
      </c>
    </row>
    <row r="6" spans="1:2" x14ac:dyDescent="0.25">
      <c r="A6" t="s">
        <v>26</v>
      </c>
      <c r="B6" s="66">
        <v>45000</v>
      </c>
    </row>
    <row r="7" spans="1:2" x14ac:dyDescent="0.25">
      <c r="A7" t="s">
        <v>47</v>
      </c>
      <c r="B7" s="66">
        <v>295000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2B6A2-8BF4-4458-B7DA-5270E26D33F5}">
  <dimension ref="A3:B8"/>
  <sheetViews>
    <sheetView workbookViewId="0">
      <selection activeCell="B3" sqref="B3"/>
    </sheetView>
  </sheetViews>
  <sheetFormatPr defaultRowHeight="15" x14ac:dyDescent="0.25"/>
  <cols>
    <col min="1" max="1" width="11.140625" bestFit="1" customWidth="1"/>
    <col min="2" max="2" width="15" bestFit="1" customWidth="1"/>
    <col min="3" max="3" width="15.85546875" bestFit="1" customWidth="1"/>
    <col min="4" max="4" width="5.42578125" bestFit="1" customWidth="1"/>
    <col min="5" max="7" width="11.140625" bestFit="1" customWidth="1"/>
    <col min="8" max="8" width="2" bestFit="1" customWidth="1"/>
    <col min="9" max="9" width="11.140625" bestFit="1" customWidth="1"/>
  </cols>
  <sheetData>
    <row r="3" spans="1:2" x14ac:dyDescent="0.25">
      <c r="A3" s="12" t="s">
        <v>2</v>
      </c>
      <c r="B3" t="s">
        <v>43</v>
      </c>
    </row>
    <row r="4" spans="1:2" x14ac:dyDescent="0.25">
      <c r="A4" t="s">
        <v>19</v>
      </c>
      <c r="B4" s="20">
        <v>0.24662162162162163</v>
      </c>
    </row>
    <row r="5" spans="1:2" x14ac:dyDescent="0.25">
      <c r="A5" t="s">
        <v>11</v>
      </c>
      <c r="B5" s="20">
        <v>0.19932432432432431</v>
      </c>
    </row>
    <row r="6" spans="1:2" x14ac:dyDescent="0.25">
      <c r="A6" t="s">
        <v>22</v>
      </c>
      <c r="B6" s="20">
        <v>0.27027027027027029</v>
      </c>
    </row>
    <row r="7" spans="1:2" x14ac:dyDescent="0.25">
      <c r="A7" t="s">
        <v>15</v>
      </c>
      <c r="B7" s="20">
        <v>0.28378378378378377</v>
      </c>
    </row>
    <row r="8" spans="1:2" x14ac:dyDescent="0.25">
      <c r="A8" t="s">
        <v>47</v>
      </c>
      <c r="B8" s="20">
        <v>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20847-5F6D-4CB0-88EE-72FF7A1098D7}">
  <sheetPr>
    <pageSetUpPr fitToPage="1"/>
  </sheetPr>
  <dimension ref="B2:P8"/>
  <sheetViews>
    <sheetView tabSelected="1" zoomScaleNormal="100" workbookViewId="0">
      <selection activeCell="J4" sqref="J4"/>
    </sheetView>
  </sheetViews>
  <sheetFormatPr defaultRowHeight="15" x14ac:dyDescent="0.25"/>
  <cols>
    <col min="15" max="15" width="9" customWidth="1"/>
  </cols>
  <sheetData>
    <row r="2" spans="2:16" ht="15" customHeight="1" x14ac:dyDescent="0.25">
      <c r="D2" s="33" t="s">
        <v>48</v>
      </c>
      <c r="E2" s="34"/>
      <c r="F2" s="34"/>
      <c r="G2" s="34"/>
      <c r="H2" s="34"/>
      <c r="I2" s="34"/>
      <c r="J2" s="34"/>
      <c r="K2" s="34"/>
      <c r="L2" s="34"/>
      <c r="M2" s="34"/>
      <c r="N2" s="35"/>
    </row>
    <row r="3" spans="2:16" x14ac:dyDescent="0.25">
      <c r="D3" s="36"/>
      <c r="E3" s="37"/>
      <c r="F3" s="37"/>
      <c r="G3" s="37"/>
      <c r="H3" s="37"/>
      <c r="I3" s="37"/>
      <c r="J3" s="37"/>
      <c r="K3" s="37"/>
      <c r="L3" s="37"/>
      <c r="M3" s="37"/>
      <c r="N3" s="38"/>
    </row>
    <row r="4" spans="2:16" x14ac:dyDescent="0.25">
      <c r="D4" s="19"/>
      <c r="E4" s="18"/>
      <c r="F4" s="18"/>
      <c r="G4" s="18"/>
      <c r="H4" s="18"/>
      <c r="I4" s="18"/>
      <c r="J4" s="18"/>
    </row>
    <row r="6" spans="2:16" x14ac:dyDescent="0.25">
      <c r="B6" s="45" t="s">
        <v>49</v>
      </c>
      <c r="C6" s="46"/>
      <c r="D6" s="47"/>
      <c r="F6" s="54" t="s">
        <v>50</v>
      </c>
      <c r="G6" s="55"/>
      <c r="H6" s="56"/>
      <c r="I6" s="18"/>
      <c r="J6" s="57" t="s">
        <v>51</v>
      </c>
      <c r="K6" s="58"/>
      <c r="L6" s="59"/>
      <c r="M6" s="21"/>
      <c r="N6" s="24" t="s">
        <v>52</v>
      </c>
      <c r="O6" s="25"/>
      <c r="P6" s="26"/>
    </row>
    <row r="7" spans="2:16" ht="15" customHeight="1" x14ac:dyDescent="0.25">
      <c r="B7" s="39">
        <f>KPI_Pivots!A4</f>
        <v>295000</v>
      </c>
      <c r="C7" s="40"/>
      <c r="D7" s="41"/>
      <c r="F7" s="48">
        <f>KPI_Pivots!C7</f>
        <v>12</v>
      </c>
      <c r="G7" s="49"/>
      <c r="H7" s="50"/>
      <c r="I7" s="17"/>
      <c r="J7" s="60">
        <f>KPI_Pivots!C4</f>
        <v>59000</v>
      </c>
      <c r="K7" s="61"/>
      <c r="L7" s="62"/>
      <c r="M7" s="15"/>
      <c r="N7" s="27">
        <f>KPI_Pivots!A7</f>
        <v>5</v>
      </c>
      <c r="O7" s="28"/>
      <c r="P7" s="29"/>
    </row>
    <row r="8" spans="2:16" ht="15" customHeight="1" x14ac:dyDescent="0.25">
      <c r="B8" s="42"/>
      <c r="C8" s="43"/>
      <c r="D8" s="44"/>
      <c r="F8" s="51"/>
      <c r="G8" s="52"/>
      <c r="H8" s="53"/>
      <c r="I8" s="17"/>
      <c r="J8" s="63"/>
      <c r="K8" s="64"/>
      <c r="L8" s="65"/>
      <c r="M8" s="15"/>
      <c r="N8" s="30"/>
      <c r="O8" s="31"/>
      <c r="P8" s="32"/>
    </row>
  </sheetData>
  <mergeCells count="9">
    <mergeCell ref="N6:P6"/>
    <mergeCell ref="N7:P8"/>
    <mergeCell ref="D2:N3"/>
    <mergeCell ref="B7:D8"/>
    <mergeCell ref="B6:D6"/>
    <mergeCell ref="F7:H8"/>
    <mergeCell ref="F6:H6"/>
    <mergeCell ref="J6:L6"/>
    <mergeCell ref="J7:L8"/>
  </mergeCells>
  <pageMargins left="0.7" right="0.7" top="0.75" bottom="0.75" header="0.3" footer="0.3"/>
  <pageSetup paperSize="12" scale="94" fitToHeight="0" orientation="landscape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Sales_Data</vt:lpstr>
      <vt:lpstr>KPI_Pivots</vt:lpstr>
      <vt:lpstr>Pivot_analysis 1</vt:lpstr>
      <vt:lpstr>Pivot_Analysis 2</vt:lpstr>
      <vt:lpstr>Pivot_analysis 3</vt:lpstr>
      <vt:lpstr>Pivot_Analysis 4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Arif Ansari</dc:creator>
  <cp:keywords/>
  <dc:description/>
  <cp:lastModifiedBy>Arif Ansari</cp:lastModifiedBy>
  <cp:revision/>
  <cp:lastPrinted>2026-02-03T08:03:57Z</cp:lastPrinted>
  <dcterms:created xsi:type="dcterms:W3CDTF">2026-01-06T16:04:30Z</dcterms:created>
  <dcterms:modified xsi:type="dcterms:W3CDTF">2026-02-03T08:04:28Z</dcterms:modified>
  <cp:category/>
  <cp:contentStatus/>
</cp:coreProperties>
</file>