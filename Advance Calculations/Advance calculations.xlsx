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e0a3b1aa3825fb/Desktop/"/>
    </mc:Choice>
  </mc:AlternateContent>
  <xr:revisionPtr revIDLastSave="8" documentId="8_{CE509687-6929-43C8-BDE5-70F0847591C8}" xr6:coauthVersionLast="47" xr6:coauthVersionMax="47" xr10:uidLastSave="{0878CF0D-19B7-4302-B63A-31560195D9D4}"/>
  <bookViews>
    <workbookView xWindow="-120" yWindow="-120" windowWidth="20730" windowHeight="11160" xr2:uid="{00000000-000D-0000-FFFF-FFFF00000000}"/>
  </bookViews>
  <sheets>
    <sheet name="Sheet1" sheetId="1" r:id="rId1"/>
    <sheet name="Advance calcul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H3" i="2"/>
  <c r="H2" i="2"/>
  <c r="G3" i="2"/>
  <c r="G2" i="2"/>
  <c r="F3" i="2"/>
  <c r="F2" i="2"/>
  <c r="E4" i="2" a="1"/>
  <c r="E4" i="2" s="1"/>
  <c r="D2" i="2"/>
  <c r="D3" i="2" a="1"/>
  <c r="D3" i="2" s="1"/>
  <c r="D4" i="2" a="1"/>
  <c r="D4" i="2" s="1"/>
  <c r="C4" i="2" a="1"/>
  <c r="C4" i="2" s="1"/>
  <c r="C3" i="2"/>
  <c r="E3" i="2"/>
  <c r="E2" i="2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<sst xmlns="http://schemas.openxmlformats.org/spreadsheetml/2006/main" count="272" uniqueCount="44">
  <si>
    <t>Order_ID</t>
  </si>
  <si>
    <t>Order_Date</t>
  </si>
  <si>
    <t>Customer_Name</t>
  </si>
  <si>
    <t>Region</t>
  </si>
  <si>
    <t>Product</t>
  </si>
  <si>
    <t>Category</t>
  </si>
  <si>
    <t>Quantity</t>
  </si>
  <si>
    <t>Unit_Price</t>
  </si>
  <si>
    <t>Discount_%</t>
  </si>
  <si>
    <t>Salesperson</t>
  </si>
  <si>
    <t>Customer_1</t>
  </si>
  <si>
    <t>North</t>
  </si>
  <si>
    <t>Laptop</t>
  </si>
  <si>
    <t>Electronics</t>
  </si>
  <si>
    <t>Sales_1</t>
  </si>
  <si>
    <t>Customer_2</t>
  </si>
  <si>
    <t>South</t>
  </si>
  <si>
    <t>Phone</t>
  </si>
  <si>
    <t>Accessories</t>
  </si>
  <si>
    <t>Sales_2</t>
  </si>
  <si>
    <t>Customer_3</t>
  </si>
  <si>
    <t>East</t>
  </si>
  <si>
    <t>Tablet</t>
  </si>
  <si>
    <t>Sales_3</t>
  </si>
  <si>
    <t>Customer_4</t>
  </si>
  <si>
    <t>West</t>
  </si>
  <si>
    <t>Monitor</t>
  </si>
  <si>
    <t>Sales_4</t>
  </si>
  <si>
    <t>Customer_5</t>
  </si>
  <si>
    <t>Keyboard</t>
  </si>
  <si>
    <t>Sales_5</t>
  </si>
  <si>
    <t>Customer_6</t>
  </si>
  <si>
    <t>Sales_6</t>
  </si>
  <si>
    <t>Customer_7</t>
  </si>
  <si>
    <t>Customer_8</t>
  </si>
  <si>
    <t>Customer_9</t>
  </si>
  <si>
    <t>Customer_10</t>
  </si>
  <si>
    <t>Xlookups</t>
  </si>
  <si>
    <t>IndexMatch</t>
  </si>
  <si>
    <t>IF Conditions with AND &amp; OR</t>
  </si>
  <si>
    <t>Levels</t>
  </si>
  <si>
    <t>Average IF</t>
  </si>
  <si>
    <t>Sum if &amp; ifs</t>
  </si>
  <si>
    <t>Count if &amp;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</si>
</sst>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N5" sqref="N5"/>
    </sheetView>
  </sheetViews>
  <sheetFormatPr defaultRowHeight="15" x14ac:dyDescent="0.25"/>
  <cols>
    <col min="2" max="2" width="11.28515625" bestFit="1" customWidth="1"/>
    <col min="3" max="3" width="15.85546875" bestFit="1" customWidth="1"/>
    <col min="6" max="6" width="10.85546875" bestFit="1" customWidth="1"/>
    <col min="8" max="8" width="10.140625" bestFit="1" customWidth="1"/>
    <col min="9" max="9" width="11.28515625" bestFit="1" customWidth="1"/>
    <col min="10" max="10" width="11.57031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40</v>
      </c>
    </row>
    <row r="2" spans="1:11" x14ac:dyDescent="0.25">
      <c r="A2" s="3">
        <v>1001</v>
      </c>
      <c r="B2" s="4">
        <v>45292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</v>
      </c>
      <c r="H2" s="5">
        <v>5000</v>
      </c>
      <c r="I2" s="5">
        <v>0</v>
      </c>
      <c r="J2" s="5" t="s">
        <v>14</v>
      </c>
      <c r="K2" s="7" t="str" cm="1">
        <f t="array" ref="K2:K52">_xlfn.IFS((Sheet1!H2:H52 &gt; 9500), "Excellent", (Sheet1!H2:H52 = 9500), "Moderate", (Sheet1!H2:H52 &lt; 9500), "Low")</f>
        <v>Low</v>
      </c>
    </row>
    <row r="3" spans="1:11" x14ac:dyDescent="0.25">
      <c r="A3" s="3">
        <v>1002</v>
      </c>
      <c r="B3" s="4">
        <v>45293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2</v>
      </c>
      <c r="H3" s="5">
        <v>6500</v>
      </c>
      <c r="I3" s="5">
        <v>5</v>
      </c>
      <c r="J3" s="5" t="s">
        <v>19</v>
      </c>
      <c r="K3" s="7" t="str">
        <v>Low</v>
      </c>
    </row>
    <row r="4" spans="1:11" x14ac:dyDescent="0.25">
      <c r="A4" s="3">
        <v>1003</v>
      </c>
      <c r="B4" s="4">
        <v>45294</v>
      </c>
      <c r="C4" s="5" t="s">
        <v>20</v>
      </c>
      <c r="D4" s="5" t="s">
        <v>21</v>
      </c>
      <c r="E4" s="5" t="s">
        <v>22</v>
      </c>
      <c r="F4" s="5" t="s">
        <v>13</v>
      </c>
      <c r="G4" s="5">
        <v>3</v>
      </c>
      <c r="H4" s="5">
        <v>8000</v>
      </c>
      <c r="I4" s="5">
        <v>10</v>
      </c>
      <c r="J4" s="5" t="s">
        <v>23</v>
      </c>
      <c r="K4" s="7" t="str">
        <v>Low</v>
      </c>
    </row>
    <row r="5" spans="1:11" x14ac:dyDescent="0.25">
      <c r="A5" s="3">
        <v>1004</v>
      </c>
      <c r="B5" s="4">
        <v>45295</v>
      </c>
      <c r="C5" s="5" t="s">
        <v>24</v>
      </c>
      <c r="D5" s="5" t="s">
        <v>25</v>
      </c>
      <c r="E5" s="5" t="s">
        <v>26</v>
      </c>
      <c r="F5" s="5" t="s">
        <v>18</v>
      </c>
      <c r="G5" s="5">
        <v>4</v>
      </c>
      <c r="H5" s="5">
        <v>9500</v>
      </c>
      <c r="I5" s="5">
        <v>15</v>
      </c>
      <c r="J5" s="5" t="s">
        <v>27</v>
      </c>
      <c r="K5" s="7" t="str">
        <v>Moderate</v>
      </c>
    </row>
    <row r="6" spans="1:11" x14ac:dyDescent="0.25">
      <c r="A6" s="3">
        <v>1005</v>
      </c>
      <c r="B6" s="4">
        <v>45296</v>
      </c>
      <c r="C6" s="5" t="s">
        <v>28</v>
      </c>
      <c r="D6" s="5" t="s">
        <v>11</v>
      </c>
      <c r="E6" s="5" t="s">
        <v>29</v>
      </c>
      <c r="F6" s="5" t="s">
        <v>13</v>
      </c>
      <c r="G6" s="5">
        <v>5</v>
      </c>
      <c r="H6" s="5">
        <v>11000</v>
      </c>
      <c r="I6" s="5">
        <v>0</v>
      </c>
      <c r="J6" s="5" t="s">
        <v>30</v>
      </c>
      <c r="K6" s="7" t="str">
        <v>Excellent</v>
      </c>
    </row>
    <row r="7" spans="1:11" x14ac:dyDescent="0.25">
      <c r="A7" s="3">
        <v>1006</v>
      </c>
      <c r="B7" s="4">
        <v>45297</v>
      </c>
      <c r="C7" s="5" t="s">
        <v>31</v>
      </c>
      <c r="D7" s="5" t="s">
        <v>16</v>
      </c>
      <c r="E7" s="5" t="s">
        <v>12</v>
      </c>
      <c r="F7" s="5" t="s">
        <v>18</v>
      </c>
      <c r="G7" s="5">
        <v>6</v>
      </c>
      <c r="H7" s="5">
        <v>5000</v>
      </c>
      <c r="I7" s="5">
        <v>5</v>
      </c>
      <c r="J7" s="5" t="s">
        <v>32</v>
      </c>
      <c r="K7" s="7" t="str">
        <v>Low</v>
      </c>
    </row>
    <row r="8" spans="1:11" x14ac:dyDescent="0.25">
      <c r="A8" s="3">
        <v>1007</v>
      </c>
      <c r="B8" s="4">
        <v>45298</v>
      </c>
      <c r="C8" s="5" t="s">
        <v>33</v>
      </c>
      <c r="D8" s="5" t="s">
        <v>21</v>
      </c>
      <c r="E8" s="5" t="s">
        <v>17</v>
      </c>
      <c r="F8" s="5" t="s">
        <v>13</v>
      </c>
      <c r="G8" s="5">
        <v>7</v>
      </c>
      <c r="H8" s="5">
        <v>6500</v>
      </c>
      <c r="I8" s="5">
        <v>10</v>
      </c>
      <c r="J8" s="5" t="s">
        <v>14</v>
      </c>
      <c r="K8" s="7" t="str">
        <v>Low</v>
      </c>
    </row>
    <row r="9" spans="1:11" x14ac:dyDescent="0.25">
      <c r="A9" s="3">
        <v>1008</v>
      </c>
      <c r="B9" s="4">
        <v>45299</v>
      </c>
      <c r="C9" s="5" t="s">
        <v>34</v>
      </c>
      <c r="D9" s="5" t="s">
        <v>25</v>
      </c>
      <c r="E9" s="5" t="s">
        <v>22</v>
      </c>
      <c r="F9" s="5" t="s">
        <v>18</v>
      </c>
      <c r="G9" s="5">
        <v>8</v>
      </c>
      <c r="H9" s="5">
        <v>8000</v>
      </c>
      <c r="I9" s="5">
        <v>15</v>
      </c>
      <c r="J9" s="5" t="s">
        <v>19</v>
      </c>
      <c r="K9" s="7" t="str">
        <v>Low</v>
      </c>
    </row>
    <row r="10" spans="1:11" x14ac:dyDescent="0.25">
      <c r="A10" s="3">
        <v>1009</v>
      </c>
      <c r="B10" s="4">
        <v>45300</v>
      </c>
      <c r="C10" s="5" t="s">
        <v>35</v>
      </c>
      <c r="D10" s="5" t="s">
        <v>11</v>
      </c>
      <c r="E10" s="5" t="s">
        <v>26</v>
      </c>
      <c r="F10" s="5" t="s">
        <v>13</v>
      </c>
      <c r="G10" s="5">
        <v>1</v>
      </c>
      <c r="H10" s="5">
        <v>9500</v>
      </c>
      <c r="I10" s="5">
        <v>0</v>
      </c>
      <c r="J10" s="5" t="s">
        <v>23</v>
      </c>
      <c r="K10" s="7" t="str">
        <v>Moderate</v>
      </c>
    </row>
    <row r="11" spans="1:11" x14ac:dyDescent="0.25">
      <c r="A11" s="3">
        <v>1010</v>
      </c>
      <c r="B11" s="4">
        <v>45301</v>
      </c>
      <c r="C11" s="5" t="s">
        <v>36</v>
      </c>
      <c r="D11" s="5" t="s">
        <v>16</v>
      </c>
      <c r="E11" s="5" t="s">
        <v>29</v>
      </c>
      <c r="F11" s="5" t="s">
        <v>18</v>
      </c>
      <c r="G11" s="5">
        <v>2</v>
      </c>
      <c r="H11" s="5">
        <v>11000</v>
      </c>
      <c r="I11" s="5">
        <v>5</v>
      </c>
      <c r="J11" s="5" t="s">
        <v>27</v>
      </c>
      <c r="K11" s="7" t="str">
        <v>Excellent</v>
      </c>
    </row>
    <row r="12" spans="1:11" x14ac:dyDescent="0.25">
      <c r="A12" s="3">
        <v>1011</v>
      </c>
      <c r="B12" s="4">
        <v>45302</v>
      </c>
      <c r="C12" s="5" t="s">
        <v>10</v>
      </c>
      <c r="D12" s="5" t="s">
        <v>21</v>
      </c>
      <c r="E12" s="5" t="s">
        <v>12</v>
      </c>
      <c r="F12" s="5" t="s">
        <v>13</v>
      </c>
      <c r="G12" s="5">
        <v>3</v>
      </c>
      <c r="H12" s="5">
        <v>5000</v>
      </c>
      <c r="I12" s="5">
        <v>10</v>
      </c>
      <c r="J12" s="5" t="s">
        <v>30</v>
      </c>
      <c r="K12" s="7" t="str">
        <v>Low</v>
      </c>
    </row>
    <row r="13" spans="1:11" x14ac:dyDescent="0.25">
      <c r="A13" s="3">
        <v>1012</v>
      </c>
      <c r="B13" s="4">
        <v>45303</v>
      </c>
      <c r="C13" s="5" t="s">
        <v>15</v>
      </c>
      <c r="D13" s="5" t="s">
        <v>25</v>
      </c>
      <c r="E13" s="5" t="s">
        <v>17</v>
      </c>
      <c r="F13" s="5" t="s">
        <v>18</v>
      </c>
      <c r="G13" s="5">
        <v>4</v>
      </c>
      <c r="H13" s="5">
        <v>6500</v>
      </c>
      <c r="I13" s="5">
        <v>15</v>
      </c>
      <c r="J13" s="5" t="s">
        <v>32</v>
      </c>
      <c r="K13" s="7" t="str">
        <v>Low</v>
      </c>
    </row>
    <row r="14" spans="1:11" x14ac:dyDescent="0.25">
      <c r="A14" s="3">
        <v>1013</v>
      </c>
      <c r="B14" s="4">
        <v>45304</v>
      </c>
      <c r="C14" s="5" t="s">
        <v>20</v>
      </c>
      <c r="D14" s="5" t="s">
        <v>11</v>
      </c>
      <c r="E14" s="5" t="s">
        <v>22</v>
      </c>
      <c r="F14" s="5" t="s">
        <v>13</v>
      </c>
      <c r="G14" s="5">
        <v>5</v>
      </c>
      <c r="H14" s="5">
        <v>8000</v>
      </c>
      <c r="I14" s="5">
        <v>0</v>
      </c>
      <c r="J14" s="5" t="s">
        <v>14</v>
      </c>
      <c r="K14" s="7" t="str">
        <v>Low</v>
      </c>
    </row>
    <row r="15" spans="1:11" x14ac:dyDescent="0.25">
      <c r="A15" s="3">
        <v>1014</v>
      </c>
      <c r="B15" s="4">
        <v>45305</v>
      </c>
      <c r="C15" s="5" t="s">
        <v>24</v>
      </c>
      <c r="D15" s="5" t="s">
        <v>16</v>
      </c>
      <c r="E15" s="5" t="s">
        <v>26</v>
      </c>
      <c r="F15" s="5" t="s">
        <v>18</v>
      </c>
      <c r="G15" s="5">
        <v>6</v>
      </c>
      <c r="H15" s="5">
        <v>9500</v>
      </c>
      <c r="I15" s="5">
        <v>5</v>
      </c>
      <c r="J15" s="5" t="s">
        <v>19</v>
      </c>
      <c r="K15" s="7" t="str">
        <v>Moderate</v>
      </c>
    </row>
    <row r="16" spans="1:11" x14ac:dyDescent="0.25">
      <c r="A16" s="3">
        <v>1015</v>
      </c>
      <c r="B16" s="4">
        <v>45306</v>
      </c>
      <c r="C16" s="5" t="s">
        <v>28</v>
      </c>
      <c r="D16" s="5" t="s">
        <v>21</v>
      </c>
      <c r="E16" s="5" t="s">
        <v>29</v>
      </c>
      <c r="F16" s="5" t="s">
        <v>13</v>
      </c>
      <c r="G16" s="5">
        <v>7</v>
      </c>
      <c r="H16" s="5">
        <v>11000</v>
      </c>
      <c r="I16" s="5">
        <v>10</v>
      </c>
      <c r="J16" s="5" t="s">
        <v>23</v>
      </c>
      <c r="K16" s="7" t="str">
        <v>Excellent</v>
      </c>
    </row>
    <row r="17" spans="1:11" x14ac:dyDescent="0.25">
      <c r="A17" s="3">
        <v>1016</v>
      </c>
      <c r="B17" s="4">
        <v>45307</v>
      </c>
      <c r="C17" s="5" t="s">
        <v>31</v>
      </c>
      <c r="D17" s="5" t="s">
        <v>25</v>
      </c>
      <c r="E17" s="5" t="s">
        <v>12</v>
      </c>
      <c r="F17" s="5" t="s">
        <v>18</v>
      </c>
      <c r="G17" s="5">
        <v>8</v>
      </c>
      <c r="H17" s="5">
        <v>5000</v>
      </c>
      <c r="I17" s="5">
        <v>15</v>
      </c>
      <c r="J17" s="5" t="s">
        <v>27</v>
      </c>
      <c r="K17" s="7" t="str">
        <v>Low</v>
      </c>
    </row>
    <row r="18" spans="1:11" x14ac:dyDescent="0.25">
      <c r="A18" s="3">
        <v>1017</v>
      </c>
      <c r="B18" s="4">
        <v>45308</v>
      </c>
      <c r="C18" s="5" t="s">
        <v>33</v>
      </c>
      <c r="D18" s="5" t="s">
        <v>11</v>
      </c>
      <c r="E18" s="5" t="s">
        <v>17</v>
      </c>
      <c r="F18" s="5" t="s">
        <v>13</v>
      </c>
      <c r="G18" s="5">
        <v>1</v>
      </c>
      <c r="H18" s="5">
        <v>6500</v>
      </c>
      <c r="I18" s="5">
        <v>0</v>
      </c>
      <c r="J18" s="5" t="s">
        <v>30</v>
      </c>
      <c r="K18" s="7" t="str">
        <v>Low</v>
      </c>
    </row>
    <row r="19" spans="1:11" x14ac:dyDescent="0.25">
      <c r="A19" s="3">
        <v>1018</v>
      </c>
      <c r="B19" s="4">
        <v>45309</v>
      </c>
      <c r="C19" s="5" t="s">
        <v>34</v>
      </c>
      <c r="D19" s="5" t="s">
        <v>16</v>
      </c>
      <c r="E19" s="5" t="s">
        <v>22</v>
      </c>
      <c r="F19" s="5" t="s">
        <v>18</v>
      </c>
      <c r="G19" s="5">
        <v>2</v>
      </c>
      <c r="H19" s="5">
        <v>8000</v>
      </c>
      <c r="I19" s="5">
        <v>5</v>
      </c>
      <c r="J19" s="5" t="s">
        <v>32</v>
      </c>
      <c r="K19" s="7" t="str">
        <v>Low</v>
      </c>
    </row>
    <row r="20" spans="1:11" x14ac:dyDescent="0.25">
      <c r="A20" s="3">
        <v>1019</v>
      </c>
      <c r="B20" s="4">
        <v>45310</v>
      </c>
      <c r="C20" s="5" t="s">
        <v>35</v>
      </c>
      <c r="D20" s="5" t="s">
        <v>21</v>
      </c>
      <c r="E20" s="5" t="s">
        <v>26</v>
      </c>
      <c r="F20" s="5" t="s">
        <v>13</v>
      </c>
      <c r="G20" s="5">
        <v>3</v>
      </c>
      <c r="H20" s="5">
        <v>9500</v>
      </c>
      <c r="I20" s="5">
        <v>10</v>
      </c>
      <c r="J20" s="5" t="s">
        <v>14</v>
      </c>
      <c r="K20" s="7" t="str">
        <v>Moderate</v>
      </c>
    </row>
    <row r="21" spans="1:11" x14ac:dyDescent="0.25">
      <c r="A21" s="3">
        <v>1020</v>
      </c>
      <c r="B21" s="4">
        <v>45311</v>
      </c>
      <c r="C21" s="5" t="s">
        <v>36</v>
      </c>
      <c r="D21" s="5" t="s">
        <v>25</v>
      </c>
      <c r="E21" s="5" t="s">
        <v>29</v>
      </c>
      <c r="F21" s="5" t="s">
        <v>18</v>
      </c>
      <c r="G21" s="5">
        <v>4</v>
      </c>
      <c r="H21" s="5">
        <v>11000</v>
      </c>
      <c r="I21" s="5">
        <v>15</v>
      </c>
      <c r="J21" s="5" t="s">
        <v>19</v>
      </c>
      <c r="K21" s="7" t="str">
        <v>Excellent</v>
      </c>
    </row>
    <row r="22" spans="1:11" x14ac:dyDescent="0.25">
      <c r="A22" s="3">
        <v>1021</v>
      </c>
      <c r="B22" s="4">
        <v>45312</v>
      </c>
      <c r="C22" s="5" t="s">
        <v>10</v>
      </c>
      <c r="D22" s="5" t="s">
        <v>11</v>
      </c>
      <c r="E22" s="5" t="s">
        <v>12</v>
      </c>
      <c r="F22" s="5" t="s">
        <v>13</v>
      </c>
      <c r="G22" s="5">
        <v>5</v>
      </c>
      <c r="H22" s="5">
        <v>5000</v>
      </c>
      <c r="I22" s="5">
        <v>0</v>
      </c>
      <c r="J22" s="5" t="s">
        <v>23</v>
      </c>
      <c r="K22" s="7" t="str">
        <v>Low</v>
      </c>
    </row>
    <row r="23" spans="1:11" x14ac:dyDescent="0.25">
      <c r="A23" s="3">
        <v>1022</v>
      </c>
      <c r="B23" s="4">
        <v>45313</v>
      </c>
      <c r="C23" s="5" t="s">
        <v>15</v>
      </c>
      <c r="D23" s="5" t="s">
        <v>16</v>
      </c>
      <c r="E23" s="5" t="s">
        <v>17</v>
      </c>
      <c r="F23" s="5" t="s">
        <v>18</v>
      </c>
      <c r="G23" s="5">
        <v>6</v>
      </c>
      <c r="H23" s="5">
        <v>6500</v>
      </c>
      <c r="I23" s="5">
        <v>5</v>
      </c>
      <c r="J23" s="5" t="s">
        <v>27</v>
      </c>
      <c r="K23" s="7" t="str">
        <v>Low</v>
      </c>
    </row>
    <row r="24" spans="1:11" x14ac:dyDescent="0.25">
      <c r="A24" s="3">
        <v>1023</v>
      </c>
      <c r="B24" s="4">
        <v>45314</v>
      </c>
      <c r="C24" s="5" t="s">
        <v>20</v>
      </c>
      <c r="D24" s="5" t="s">
        <v>21</v>
      </c>
      <c r="E24" s="5" t="s">
        <v>22</v>
      </c>
      <c r="F24" s="5" t="s">
        <v>13</v>
      </c>
      <c r="G24" s="5">
        <v>7</v>
      </c>
      <c r="H24" s="5">
        <v>8000</v>
      </c>
      <c r="I24" s="5">
        <v>10</v>
      </c>
      <c r="J24" s="5" t="s">
        <v>30</v>
      </c>
      <c r="K24" s="7" t="str">
        <v>Low</v>
      </c>
    </row>
    <row r="25" spans="1:11" x14ac:dyDescent="0.25">
      <c r="A25" s="3">
        <v>1024</v>
      </c>
      <c r="B25" s="4">
        <v>45315</v>
      </c>
      <c r="C25" s="5" t="s">
        <v>24</v>
      </c>
      <c r="D25" s="5" t="s">
        <v>25</v>
      </c>
      <c r="E25" s="5" t="s">
        <v>26</v>
      </c>
      <c r="F25" s="5" t="s">
        <v>18</v>
      </c>
      <c r="G25" s="5">
        <v>8</v>
      </c>
      <c r="H25" s="5">
        <v>9500</v>
      </c>
      <c r="I25" s="5">
        <v>15</v>
      </c>
      <c r="J25" s="5" t="s">
        <v>32</v>
      </c>
      <c r="K25" s="7" t="str">
        <v>Moderate</v>
      </c>
    </row>
    <row r="26" spans="1:11" x14ac:dyDescent="0.25">
      <c r="A26" s="3">
        <v>1025</v>
      </c>
      <c r="B26" s="4">
        <v>45316</v>
      </c>
      <c r="C26" s="5" t="s">
        <v>28</v>
      </c>
      <c r="D26" s="5" t="s">
        <v>11</v>
      </c>
      <c r="E26" s="5" t="s">
        <v>29</v>
      </c>
      <c r="F26" s="5" t="s">
        <v>13</v>
      </c>
      <c r="G26" s="5">
        <v>1</v>
      </c>
      <c r="H26" s="5">
        <v>11000</v>
      </c>
      <c r="I26" s="5">
        <v>0</v>
      </c>
      <c r="J26" s="5" t="s">
        <v>14</v>
      </c>
      <c r="K26" s="7" t="str">
        <v>Excellent</v>
      </c>
    </row>
    <row r="27" spans="1:11" x14ac:dyDescent="0.25">
      <c r="A27" s="3">
        <v>1026</v>
      </c>
      <c r="B27" s="4">
        <v>45317</v>
      </c>
      <c r="C27" s="5" t="s">
        <v>31</v>
      </c>
      <c r="D27" s="5" t="s">
        <v>16</v>
      </c>
      <c r="E27" s="5" t="s">
        <v>12</v>
      </c>
      <c r="F27" s="5" t="s">
        <v>18</v>
      </c>
      <c r="G27" s="5">
        <v>2</v>
      </c>
      <c r="H27" s="5">
        <v>5000</v>
      </c>
      <c r="I27" s="5">
        <v>5</v>
      </c>
      <c r="J27" s="5" t="s">
        <v>19</v>
      </c>
      <c r="K27" s="7" t="str">
        <v>Low</v>
      </c>
    </row>
    <row r="28" spans="1:11" x14ac:dyDescent="0.25">
      <c r="A28" s="3">
        <v>1027</v>
      </c>
      <c r="B28" s="4">
        <v>45318</v>
      </c>
      <c r="C28" s="5" t="s">
        <v>33</v>
      </c>
      <c r="D28" s="5" t="s">
        <v>21</v>
      </c>
      <c r="E28" s="5" t="s">
        <v>17</v>
      </c>
      <c r="F28" s="5" t="s">
        <v>13</v>
      </c>
      <c r="G28" s="5">
        <v>3</v>
      </c>
      <c r="H28" s="5">
        <v>6500</v>
      </c>
      <c r="I28" s="5">
        <v>10</v>
      </c>
      <c r="J28" s="5" t="s">
        <v>23</v>
      </c>
      <c r="K28" s="7" t="str">
        <v>Low</v>
      </c>
    </row>
    <row r="29" spans="1:11" x14ac:dyDescent="0.25">
      <c r="A29" s="3">
        <v>1028</v>
      </c>
      <c r="B29" s="4">
        <v>45319</v>
      </c>
      <c r="C29" s="5" t="s">
        <v>34</v>
      </c>
      <c r="D29" s="5" t="s">
        <v>25</v>
      </c>
      <c r="E29" s="5" t="s">
        <v>22</v>
      </c>
      <c r="F29" s="5" t="s">
        <v>18</v>
      </c>
      <c r="G29" s="5">
        <v>4</v>
      </c>
      <c r="H29" s="5">
        <v>8000</v>
      </c>
      <c r="I29" s="5">
        <v>15</v>
      </c>
      <c r="J29" s="5" t="s">
        <v>27</v>
      </c>
      <c r="K29" s="7" t="str">
        <v>Low</v>
      </c>
    </row>
    <row r="30" spans="1:11" x14ac:dyDescent="0.25">
      <c r="A30" s="3">
        <v>1029</v>
      </c>
      <c r="B30" s="4">
        <v>45292</v>
      </c>
      <c r="C30" s="5" t="s">
        <v>35</v>
      </c>
      <c r="D30" s="5" t="s">
        <v>11</v>
      </c>
      <c r="E30" s="5" t="s">
        <v>26</v>
      </c>
      <c r="F30" s="5" t="s">
        <v>13</v>
      </c>
      <c r="G30" s="5">
        <v>5</v>
      </c>
      <c r="H30" s="5">
        <v>9500</v>
      </c>
      <c r="I30" s="5">
        <v>0</v>
      </c>
      <c r="J30" s="5" t="s">
        <v>30</v>
      </c>
      <c r="K30" s="7" t="str">
        <v>Moderate</v>
      </c>
    </row>
    <row r="31" spans="1:11" x14ac:dyDescent="0.25">
      <c r="A31" s="3">
        <v>1030</v>
      </c>
      <c r="B31" s="4">
        <v>45293</v>
      </c>
      <c r="C31" s="5" t="s">
        <v>36</v>
      </c>
      <c r="D31" s="5" t="s">
        <v>16</v>
      </c>
      <c r="E31" s="5" t="s">
        <v>29</v>
      </c>
      <c r="F31" s="5" t="s">
        <v>18</v>
      </c>
      <c r="G31" s="5">
        <v>6</v>
      </c>
      <c r="H31" s="5">
        <v>11000</v>
      </c>
      <c r="I31" s="5">
        <v>5</v>
      </c>
      <c r="J31" s="5" t="s">
        <v>32</v>
      </c>
      <c r="K31" s="7" t="str">
        <v>Excellent</v>
      </c>
    </row>
    <row r="32" spans="1:11" x14ac:dyDescent="0.25">
      <c r="A32" s="3">
        <v>1031</v>
      </c>
      <c r="B32" s="4">
        <v>45294</v>
      </c>
      <c r="C32" s="5" t="s">
        <v>10</v>
      </c>
      <c r="D32" s="5" t="s">
        <v>21</v>
      </c>
      <c r="E32" s="5" t="s">
        <v>12</v>
      </c>
      <c r="F32" s="5" t="s">
        <v>13</v>
      </c>
      <c r="G32" s="5">
        <v>7</v>
      </c>
      <c r="H32" s="5">
        <v>5000</v>
      </c>
      <c r="I32" s="5">
        <v>10</v>
      </c>
      <c r="J32" s="5" t="s">
        <v>14</v>
      </c>
      <c r="K32" s="7" t="str">
        <v>Low</v>
      </c>
    </row>
    <row r="33" spans="1:11" x14ac:dyDescent="0.25">
      <c r="A33" s="3">
        <v>1032</v>
      </c>
      <c r="B33" s="4">
        <v>45295</v>
      </c>
      <c r="C33" s="5" t="s">
        <v>15</v>
      </c>
      <c r="D33" s="5" t="s">
        <v>25</v>
      </c>
      <c r="E33" s="5" t="s">
        <v>17</v>
      </c>
      <c r="F33" s="5" t="s">
        <v>18</v>
      </c>
      <c r="G33" s="5">
        <v>8</v>
      </c>
      <c r="H33" s="5">
        <v>6500</v>
      </c>
      <c r="I33" s="5">
        <v>15</v>
      </c>
      <c r="J33" s="5" t="s">
        <v>19</v>
      </c>
      <c r="K33" s="7" t="str">
        <v>Low</v>
      </c>
    </row>
    <row r="34" spans="1:11" x14ac:dyDescent="0.25">
      <c r="A34" s="3">
        <v>1033</v>
      </c>
      <c r="B34" s="4">
        <v>45296</v>
      </c>
      <c r="C34" s="5" t="s">
        <v>20</v>
      </c>
      <c r="D34" s="5" t="s">
        <v>11</v>
      </c>
      <c r="E34" s="5" t="s">
        <v>22</v>
      </c>
      <c r="F34" s="5" t="s">
        <v>13</v>
      </c>
      <c r="G34" s="5">
        <v>1</v>
      </c>
      <c r="H34" s="5">
        <v>8000</v>
      </c>
      <c r="I34" s="5">
        <v>0</v>
      </c>
      <c r="J34" s="5" t="s">
        <v>23</v>
      </c>
      <c r="K34" s="7" t="str">
        <v>Low</v>
      </c>
    </row>
    <row r="35" spans="1:11" x14ac:dyDescent="0.25">
      <c r="A35" s="3">
        <v>1034</v>
      </c>
      <c r="B35" s="4">
        <v>45297</v>
      </c>
      <c r="C35" s="5" t="s">
        <v>24</v>
      </c>
      <c r="D35" s="5" t="s">
        <v>16</v>
      </c>
      <c r="E35" s="5" t="s">
        <v>26</v>
      </c>
      <c r="F35" s="5" t="s">
        <v>18</v>
      </c>
      <c r="G35" s="5">
        <v>2</v>
      </c>
      <c r="H35" s="5">
        <v>9500</v>
      </c>
      <c r="I35" s="5">
        <v>5</v>
      </c>
      <c r="J35" s="5" t="s">
        <v>27</v>
      </c>
      <c r="K35" s="7" t="str">
        <v>Moderate</v>
      </c>
    </row>
    <row r="36" spans="1:11" x14ac:dyDescent="0.25">
      <c r="A36" s="3">
        <v>1035</v>
      </c>
      <c r="B36" s="4">
        <v>45298</v>
      </c>
      <c r="C36" s="5" t="s">
        <v>28</v>
      </c>
      <c r="D36" s="5" t="s">
        <v>21</v>
      </c>
      <c r="E36" s="5" t="s">
        <v>29</v>
      </c>
      <c r="F36" s="5" t="s">
        <v>13</v>
      </c>
      <c r="G36" s="5">
        <v>3</v>
      </c>
      <c r="H36" s="5">
        <v>11000</v>
      </c>
      <c r="I36" s="5">
        <v>10</v>
      </c>
      <c r="J36" s="5" t="s">
        <v>30</v>
      </c>
      <c r="K36" s="7" t="str">
        <v>Excellent</v>
      </c>
    </row>
    <row r="37" spans="1:11" x14ac:dyDescent="0.25">
      <c r="A37" s="3">
        <v>1036</v>
      </c>
      <c r="B37" s="4">
        <v>45299</v>
      </c>
      <c r="C37" s="5" t="s">
        <v>31</v>
      </c>
      <c r="D37" s="5" t="s">
        <v>25</v>
      </c>
      <c r="E37" s="5" t="s">
        <v>12</v>
      </c>
      <c r="F37" s="5" t="s">
        <v>18</v>
      </c>
      <c r="G37" s="5">
        <v>4</v>
      </c>
      <c r="H37" s="5">
        <v>5000</v>
      </c>
      <c r="I37" s="5">
        <v>15</v>
      </c>
      <c r="J37" s="5" t="s">
        <v>32</v>
      </c>
      <c r="K37" s="7" t="str">
        <v>Low</v>
      </c>
    </row>
    <row r="38" spans="1:11" x14ac:dyDescent="0.25">
      <c r="A38" s="3">
        <v>1037</v>
      </c>
      <c r="B38" s="4">
        <v>45300</v>
      </c>
      <c r="C38" s="5" t="s">
        <v>33</v>
      </c>
      <c r="D38" s="5" t="s">
        <v>11</v>
      </c>
      <c r="E38" s="5" t="s">
        <v>17</v>
      </c>
      <c r="F38" s="5" t="s">
        <v>13</v>
      </c>
      <c r="G38" s="5">
        <v>5</v>
      </c>
      <c r="H38" s="5">
        <v>6500</v>
      </c>
      <c r="I38" s="5">
        <v>0</v>
      </c>
      <c r="J38" s="5" t="s">
        <v>14</v>
      </c>
      <c r="K38" s="7" t="str">
        <v>Low</v>
      </c>
    </row>
    <row r="39" spans="1:11" x14ac:dyDescent="0.25">
      <c r="A39" s="3">
        <v>1038</v>
      </c>
      <c r="B39" s="4">
        <v>45301</v>
      </c>
      <c r="C39" s="5" t="s">
        <v>34</v>
      </c>
      <c r="D39" s="5" t="s">
        <v>16</v>
      </c>
      <c r="E39" s="5" t="s">
        <v>22</v>
      </c>
      <c r="F39" s="5" t="s">
        <v>18</v>
      </c>
      <c r="G39" s="5">
        <v>6</v>
      </c>
      <c r="H39" s="5">
        <v>8000</v>
      </c>
      <c r="I39" s="5">
        <v>5</v>
      </c>
      <c r="J39" s="5" t="s">
        <v>19</v>
      </c>
      <c r="K39" s="7" t="str">
        <v>Low</v>
      </c>
    </row>
    <row r="40" spans="1:11" x14ac:dyDescent="0.25">
      <c r="A40" s="3">
        <v>1039</v>
      </c>
      <c r="B40" s="4">
        <v>45302</v>
      </c>
      <c r="C40" s="5" t="s">
        <v>35</v>
      </c>
      <c r="D40" s="5" t="s">
        <v>21</v>
      </c>
      <c r="E40" s="5" t="s">
        <v>26</v>
      </c>
      <c r="F40" s="5" t="s">
        <v>13</v>
      </c>
      <c r="G40" s="5">
        <v>7</v>
      </c>
      <c r="H40" s="5">
        <v>9500</v>
      </c>
      <c r="I40" s="5">
        <v>10</v>
      </c>
      <c r="J40" s="5" t="s">
        <v>23</v>
      </c>
      <c r="K40" s="7" t="str">
        <v>Moderate</v>
      </c>
    </row>
    <row r="41" spans="1:11" x14ac:dyDescent="0.25">
      <c r="A41" s="3">
        <v>1040</v>
      </c>
      <c r="B41" s="4">
        <v>45303</v>
      </c>
      <c r="C41" s="5" t="s">
        <v>36</v>
      </c>
      <c r="D41" s="5" t="s">
        <v>25</v>
      </c>
      <c r="E41" s="5" t="s">
        <v>29</v>
      </c>
      <c r="F41" s="5" t="s">
        <v>18</v>
      </c>
      <c r="G41" s="5">
        <v>8</v>
      </c>
      <c r="H41" s="5">
        <v>11000</v>
      </c>
      <c r="I41" s="5">
        <v>15</v>
      </c>
      <c r="J41" s="5" t="s">
        <v>27</v>
      </c>
      <c r="K41" s="7" t="str">
        <v>Excellent</v>
      </c>
    </row>
    <row r="42" spans="1:11" x14ac:dyDescent="0.25">
      <c r="A42" s="3">
        <v>1041</v>
      </c>
      <c r="B42" s="4">
        <v>45304</v>
      </c>
      <c r="C42" s="5" t="s">
        <v>10</v>
      </c>
      <c r="D42" s="5" t="s">
        <v>11</v>
      </c>
      <c r="E42" s="5" t="s">
        <v>12</v>
      </c>
      <c r="F42" s="5" t="s">
        <v>13</v>
      </c>
      <c r="G42" s="5">
        <v>1</v>
      </c>
      <c r="H42" s="5">
        <v>5000</v>
      </c>
      <c r="I42" s="5">
        <v>0</v>
      </c>
      <c r="J42" s="5" t="s">
        <v>30</v>
      </c>
      <c r="K42" s="7" t="str">
        <v>Low</v>
      </c>
    </row>
    <row r="43" spans="1:11" x14ac:dyDescent="0.25">
      <c r="A43" s="3">
        <v>1042</v>
      </c>
      <c r="B43" s="4">
        <v>45305</v>
      </c>
      <c r="C43" s="5" t="s">
        <v>15</v>
      </c>
      <c r="D43" s="5" t="s">
        <v>16</v>
      </c>
      <c r="E43" s="5" t="s">
        <v>17</v>
      </c>
      <c r="F43" s="5" t="s">
        <v>18</v>
      </c>
      <c r="G43" s="5">
        <v>2</v>
      </c>
      <c r="H43" s="5">
        <v>6500</v>
      </c>
      <c r="I43" s="5">
        <v>5</v>
      </c>
      <c r="J43" s="5" t="s">
        <v>32</v>
      </c>
      <c r="K43" s="7" t="str">
        <v>Low</v>
      </c>
    </row>
    <row r="44" spans="1:11" x14ac:dyDescent="0.25">
      <c r="A44" s="3">
        <v>1043</v>
      </c>
      <c r="B44" s="4">
        <v>45306</v>
      </c>
      <c r="C44" s="5" t="s">
        <v>20</v>
      </c>
      <c r="D44" s="5" t="s">
        <v>21</v>
      </c>
      <c r="E44" s="5" t="s">
        <v>22</v>
      </c>
      <c r="F44" s="5" t="s">
        <v>13</v>
      </c>
      <c r="G44" s="5">
        <v>3</v>
      </c>
      <c r="H44" s="5">
        <v>8000</v>
      </c>
      <c r="I44" s="5">
        <v>10</v>
      </c>
      <c r="J44" s="5" t="s">
        <v>14</v>
      </c>
      <c r="K44" s="7" t="str">
        <v>Low</v>
      </c>
    </row>
    <row r="45" spans="1:11" x14ac:dyDescent="0.25">
      <c r="A45" s="3">
        <v>1044</v>
      </c>
      <c r="B45" s="4">
        <v>45307</v>
      </c>
      <c r="C45" s="5" t="s">
        <v>24</v>
      </c>
      <c r="D45" s="5" t="s">
        <v>25</v>
      </c>
      <c r="E45" s="5" t="s">
        <v>26</v>
      </c>
      <c r="F45" s="5" t="s">
        <v>18</v>
      </c>
      <c r="G45" s="5">
        <v>4</v>
      </c>
      <c r="H45" s="5">
        <v>9500</v>
      </c>
      <c r="I45" s="5">
        <v>15</v>
      </c>
      <c r="J45" s="5" t="s">
        <v>19</v>
      </c>
      <c r="K45" s="7" t="str">
        <v>Moderate</v>
      </c>
    </row>
    <row r="46" spans="1:11" x14ac:dyDescent="0.25">
      <c r="A46" s="3">
        <v>1045</v>
      </c>
      <c r="B46" s="4">
        <v>45308</v>
      </c>
      <c r="C46" s="5" t="s">
        <v>28</v>
      </c>
      <c r="D46" s="5" t="s">
        <v>11</v>
      </c>
      <c r="E46" s="5" t="s">
        <v>29</v>
      </c>
      <c r="F46" s="5" t="s">
        <v>13</v>
      </c>
      <c r="G46" s="5">
        <v>5</v>
      </c>
      <c r="H46" s="5">
        <v>11000</v>
      </c>
      <c r="I46" s="5">
        <v>0</v>
      </c>
      <c r="J46" s="5" t="s">
        <v>23</v>
      </c>
      <c r="K46" s="7" t="str">
        <v>Excellent</v>
      </c>
    </row>
    <row r="47" spans="1:11" x14ac:dyDescent="0.25">
      <c r="A47" s="3">
        <v>1046</v>
      </c>
      <c r="B47" s="4">
        <v>45309</v>
      </c>
      <c r="C47" s="5" t="s">
        <v>31</v>
      </c>
      <c r="D47" s="5" t="s">
        <v>16</v>
      </c>
      <c r="E47" s="5" t="s">
        <v>12</v>
      </c>
      <c r="F47" s="5" t="s">
        <v>18</v>
      </c>
      <c r="G47" s="5">
        <v>6</v>
      </c>
      <c r="H47" s="5">
        <v>5000</v>
      </c>
      <c r="I47" s="5">
        <v>5</v>
      </c>
      <c r="J47" s="5" t="s">
        <v>27</v>
      </c>
      <c r="K47" s="7" t="str">
        <v>Low</v>
      </c>
    </row>
    <row r="48" spans="1:11" x14ac:dyDescent="0.25">
      <c r="A48" s="3">
        <v>1047</v>
      </c>
      <c r="B48" s="4">
        <v>45310</v>
      </c>
      <c r="C48" s="5" t="s">
        <v>33</v>
      </c>
      <c r="D48" s="5" t="s">
        <v>21</v>
      </c>
      <c r="E48" s="5" t="s">
        <v>17</v>
      </c>
      <c r="F48" s="5" t="s">
        <v>13</v>
      </c>
      <c r="G48" s="5">
        <v>7</v>
      </c>
      <c r="H48" s="5">
        <v>6500</v>
      </c>
      <c r="I48" s="5">
        <v>10</v>
      </c>
      <c r="J48" s="5" t="s">
        <v>30</v>
      </c>
      <c r="K48" s="7" t="str">
        <v>Low</v>
      </c>
    </row>
    <row r="49" spans="1:11" x14ac:dyDescent="0.25">
      <c r="A49" s="3">
        <v>1048</v>
      </c>
      <c r="B49" s="4">
        <v>45311</v>
      </c>
      <c r="C49" s="5" t="s">
        <v>34</v>
      </c>
      <c r="D49" s="5" t="s">
        <v>25</v>
      </c>
      <c r="E49" s="5" t="s">
        <v>22</v>
      </c>
      <c r="F49" s="5" t="s">
        <v>18</v>
      </c>
      <c r="G49" s="5">
        <v>8</v>
      </c>
      <c r="H49" s="5">
        <v>8000</v>
      </c>
      <c r="I49" s="5">
        <v>15</v>
      </c>
      <c r="J49" s="5" t="s">
        <v>32</v>
      </c>
      <c r="K49" s="7" t="str">
        <v>Low</v>
      </c>
    </row>
    <row r="50" spans="1:11" x14ac:dyDescent="0.25">
      <c r="A50" s="3">
        <v>1049</v>
      </c>
      <c r="B50" s="4">
        <v>45312</v>
      </c>
      <c r="C50" s="5" t="s">
        <v>35</v>
      </c>
      <c r="D50" s="5" t="s">
        <v>11</v>
      </c>
      <c r="E50" s="5" t="s">
        <v>26</v>
      </c>
      <c r="F50" s="5" t="s">
        <v>13</v>
      </c>
      <c r="G50" s="5">
        <v>1</v>
      </c>
      <c r="H50" s="5">
        <v>9500</v>
      </c>
      <c r="I50" s="5">
        <v>0</v>
      </c>
      <c r="J50" s="5" t="s">
        <v>14</v>
      </c>
      <c r="K50" s="7" t="str">
        <v>Moderate</v>
      </c>
    </row>
    <row r="51" spans="1:11" x14ac:dyDescent="0.25">
      <c r="A51" s="3">
        <v>1050</v>
      </c>
      <c r="B51" s="4">
        <v>45313</v>
      </c>
      <c r="C51" s="5" t="s">
        <v>36</v>
      </c>
      <c r="D51" s="5" t="s">
        <v>16</v>
      </c>
      <c r="E51" s="5" t="s">
        <v>29</v>
      </c>
      <c r="F51" s="5" t="s">
        <v>18</v>
      </c>
      <c r="G51" s="5">
        <v>2</v>
      </c>
      <c r="H51" s="5">
        <v>11000</v>
      </c>
      <c r="I51" s="5">
        <v>5</v>
      </c>
      <c r="J51" s="5" t="s">
        <v>19</v>
      </c>
      <c r="K51" s="7" t="str">
        <v>Excellent</v>
      </c>
    </row>
    <row r="52" spans="1:11" x14ac:dyDescent="0.25">
      <c r="A52" s="3">
        <v>1050</v>
      </c>
      <c r="B52" s="4">
        <v>45313</v>
      </c>
      <c r="C52" s="5" t="s">
        <v>36</v>
      </c>
      <c r="D52" s="5" t="s">
        <v>16</v>
      </c>
      <c r="E52" s="5" t="s">
        <v>29</v>
      </c>
      <c r="F52" s="5" t="s">
        <v>18</v>
      </c>
      <c r="G52" s="5">
        <v>2</v>
      </c>
      <c r="H52" s="5">
        <v>11000</v>
      </c>
      <c r="I52" s="5">
        <v>5</v>
      </c>
      <c r="J52" s="5" t="s">
        <v>19</v>
      </c>
      <c r="K52" s="7" t="str">
        <v>Excellent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CB28-C9DE-48C4-8E49-4B085222956F}">
  <dimension ref="C1:H4"/>
  <sheetViews>
    <sheetView workbookViewId="0">
      <selection activeCell="E2" sqref="E2"/>
    </sheetView>
  </sheetViews>
  <sheetFormatPr defaultRowHeight="15" x14ac:dyDescent="0.25"/>
  <cols>
    <col min="3" max="3" width="10.28515625" bestFit="1" customWidth="1"/>
    <col min="4" max="4" width="11.5703125" bestFit="1" customWidth="1"/>
    <col min="5" max="5" width="27" bestFit="1" customWidth="1"/>
    <col min="6" max="6" width="12" bestFit="1" customWidth="1"/>
    <col min="7" max="7" width="11.140625" bestFit="1" customWidth="1"/>
    <col min="8" max="8" width="12.5703125" bestFit="1" customWidth="1"/>
  </cols>
  <sheetData>
    <row r="1" spans="3:8" x14ac:dyDescent="0.25">
      <c r="C1" s="6" t="s">
        <v>37</v>
      </c>
      <c r="D1" s="6" t="s">
        <v>38</v>
      </c>
      <c r="E1" s="6" t="s">
        <v>39</v>
      </c>
      <c r="F1" s="6" t="s">
        <v>41</v>
      </c>
      <c r="G1" s="6" t="s">
        <v>42</v>
      </c>
      <c r="H1" s="6" t="s">
        <v>43</v>
      </c>
    </row>
    <row r="2" spans="3:8" x14ac:dyDescent="0.25">
      <c r="C2" s="7" cm="1">
        <f t="array" ref="C2">_xlfn.XLOOKUP(1,(Sheet1!E2:E52 = "Laptop")*(Sheet1!H2:H52 = 5000),Sheet1!A2:A52)</f>
        <v>1001</v>
      </c>
      <c r="D2" s="7">
        <f>INDEX(Sheet1!I2:I52,MATCH(Sheet1!A7,Sheet1!A2:A52,0))</f>
        <v>5</v>
      </c>
      <c r="E2" s="7" t="str">
        <f>IF(Sheet1!H2 &gt; 5000, "TOP","LOW")</f>
        <v>LOW</v>
      </c>
      <c r="F2" s="7">
        <f>AVERAGEIF(Sheet1!H2:H52,"&gt; 5000")</f>
        <v>8804.878048780487</v>
      </c>
      <c r="G2" s="7">
        <f>SUMIF(Sheet1!H2:H52, "&lt;9500")</f>
        <v>195000</v>
      </c>
      <c r="H2" s="7">
        <f>COUNTIF(Sheet1!G2:G52,"&lt;7")</f>
        <v>39</v>
      </c>
    </row>
    <row r="3" spans="3:8" x14ac:dyDescent="0.25">
      <c r="C3" s="7">
        <f>_xlfn.XLOOKUP(Sheet1!A2, Sheet1!A2:A52, Sheet1!H2:H52)</f>
        <v>5000</v>
      </c>
      <c r="D3" s="7" t="str" cm="1">
        <f t="array" ref="D3">INDEX(Sheet1!F2:F52,MATCH(1, (Sheet1!E2:E52 = "Monitor")*(Sheet1!H2:H52 = 9500),0))</f>
        <v>Accessories</v>
      </c>
      <c r="E3" s="7" t="str">
        <f>IF(AND(Sheet1!G2 &gt; 2, Sheet1!H2 &gt; 5000),"GOOD","BAD")</f>
        <v>BAD</v>
      </c>
      <c r="F3" s="7">
        <f>AVERAGEIFS(Sheet1!H2:H52,Sheet1!H2:H52,"&gt; 5000",Sheet1!H2:H52,"&lt; 9500")</f>
        <v>7250</v>
      </c>
      <c r="G3" s="7">
        <f>SUMIFS(Sheet1!H2:H52,Sheet1!H2:H52, "&gt;5000",Sheet1!H2:H52, "&lt;11000")</f>
        <v>240000</v>
      </c>
      <c r="H3" s="7">
        <f>COUNTIFS(Sheet1!G2:G52,"&gt;2",Sheet1!G2:G52,"&lt;7")</f>
        <v>24</v>
      </c>
    </row>
    <row r="4" spans="3:8" x14ac:dyDescent="0.25">
      <c r="C4" s="7" t="str" cm="1">
        <f t="array" ref="C4">IFERROR(_xlfn.XLOOKUP(1,(Sheet1!D2:D52 = "South")*(Sheet1!H2:H52 = 20000),Sheet1!A2:A52), "Not Found")</f>
        <v>Not Found</v>
      </c>
      <c r="D4" s="7" t="str" cm="1">
        <f t="array" ref="D4">IFERROR(INDEX(Sheet1!E2:E52,MATCH(1,(Sheet1!H2:H52 = 9500)*(Sheet1!I2:I52 = 20),0)),"Not Found")</f>
        <v>Not Found</v>
      </c>
      <c r="E4" s="7" t="str" cm="1">
        <f t="array" ref="E4">IF(OR(Sheet1!I2:I52&gt;5,Sheet1!G2:G52&gt;1),"Okay","Not Okay")</f>
        <v>Okay</v>
      </c>
      <c r="F4" s="7"/>
      <c r="G4" s="7"/>
      <c r="H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Advance 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Arif Ansari</cp:lastModifiedBy>
  <cp:revision/>
  <dcterms:created xsi:type="dcterms:W3CDTF">2026-02-04T16:55:00Z</dcterms:created>
  <dcterms:modified xsi:type="dcterms:W3CDTF">2026-02-05T17:26:38Z</dcterms:modified>
  <cp:category/>
  <cp:contentStatus/>
</cp:coreProperties>
</file>